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yssafisher/Downloads/"/>
    </mc:Choice>
  </mc:AlternateContent>
  <xr:revisionPtr revIDLastSave="0" documentId="13_ncr:1_{C8C27B83-C0D6-8F47-A608-D92A788A6F55}" xr6:coauthVersionLast="47" xr6:coauthVersionMax="47" xr10:uidLastSave="{00000000-0000-0000-0000-000000000000}"/>
  <bookViews>
    <workbookView xWindow="780" yWindow="1000" windowWidth="27640" windowHeight="15680" xr2:uid="{51B2639E-F1EC-0F46-B6CF-68F76D35DD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C22" i="1"/>
  <c r="C23" i="1"/>
  <c r="D23" i="1" s="1"/>
  <c r="E10" i="1"/>
  <c r="D10" i="1"/>
  <c r="C10" i="1"/>
  <c r="E9" i="1"/>
  <c r="D9" i="1"/>
  <c r="C9" i="1"/>
  <c r="E8" i="1"/>
  <c r="D8" i="1"/>
  <c r="C8" i="1"/>
  <c r="E7" i="1"/>
  <c r="D7" i="1"/>
  <c r="C7" i="1"/>
  <c r="C6" i="1"/>
  <c r="E6" i="1"/>
  <c r="D6" i="1"/>
  <c r="E5" i="1"/>
  <c r="D5" i="1"/>
  <c r="C5" i="1"/>
  <c r="E4" i="1"/>
  <c r="D4" i="1"/>
  <c r="C4" i="1"/>
  <c r="H6" i="1"/>
  <c r="B4" i="1"/>
  <c r="E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E23" i="1" l="1"/>
  <c r="C11" i="1"/>
  <c r="D11" i="1" s="1"/>
  <c r="E11" i="1" s="1"/>
  <c r="C24" i="1" l="1"/>
  <c r="D24" i="1" s="1"/>
  <c r="E24" i="1" s="1"/>
  <c r="C12" i="1"/>
  <c r="D12" i="1" s="1"/>
  <c r="E12" i="1" s="1"/>
  <c r="C25" i="1" l="1"/>
  <c r="D25" i="1" s="1"/>
  <c r="E25" i="1"/>
  <c r="C13" i="1"/>
  <c r="D13" i="1" s="1"/>
  <c r="E13" i="1"/>
  <c r="C26" i="1" l="1"/>
  <c r="D26" i="1" s="1"/>
  <c r="E26" i="1"/>
  <c r="C14" i="1"/>
  <c r="D14" i="1" s="1"/>
  <c r="E14" i="1"/>
  <c r="C27" i="1" l="1"/>
  <c r="D27" i="1" s="1"/>
  <c r="E27" i="1"/>
  <c r="C15" i="1"/>
  <c r="D15" i="1" s="1"/>
  <c r="E15" i="1"/>
  <c r="C28" i="1" l="1"/>
  <c r="D28" i="1" s="1"/>
  <c r="E28" i="1" s="1"/>
  <c r="C16" i="1"/>
  <c r="D16" i="1" s="1"/>
  <c r="E16" i="1"/>
  <c r="C29" i="1" l="1"/>
  <c r="D29" i="1" s="1"/>
  <c r="E29" i="1"/>
  <c r="C17" i="1"/>
  <c r="D17" i="1" s="1"/>
  <c r="E17" i="1" s="1"/>
  <c r="C30" i="1" l="1"/>
  <c r="D30" i="1" s="1"/>
  <c r="E30" i="1" s="1"/>
  <c r="C18" i="1"/>
  <c r="D18" i="1" s="1"/>
  <c r="E18" i="1" s="1"/>
  <c r="C31" i="1" l="1"/>
  <c r="D31" i="1" s="1"/>
  <c r="E31" i="1" s="1"/>
  <c r="C19" i="1"/>
  <c r="D19" i="1" s="1"/>
  <c r="E19" i="1" s="1"/>
  <c r="C32" i="1" l="1"/>
  <c r="D32" i="1" s="1"/>
  <c r="E32" i="1" s="1"/>
  <c r="C20" i="1"/>
  <c r="D20" i="1" s="1"/>
  <c r="E20" i="1" s="1"/>
  <c r="C33" i="1" l="1"/>
  <c r="D33" i="1" s="1"/>
  <c r="E33" i="1"/>
  <c r="C21" i="1"/>
  <c r="D21" i="1" s="1"/>
  <c r="E21" i="1" s="1"/>
  <c r="C34" i="1" l="1"/>
  <c r="D34" i="1" s="1"/>
  <c r="E34" i="1"/>
  <c r="C35" i="1" l="1"/>
  <c r="D35" i="1" s="1"/>
  <c r="E35" i="1" s="1"/>
  <c r="C36" i="1" l="1"/>
  <c r="D36" i="1" s="1"/>
  <c r="E36" i="1" s="1"/>
  <c r="C37" i="1" l="1"/>
  <c r="D37" i="1" s="1"/>
  <c r="E37" i="1" s="1"/>
  <c r="C38" i="1" l="1"/>
  <c r="D38" i="1" s="1"/>
  <c r="E38" i="1" s="1"/>
  <c r="C39" i="1" l="1"/>
  <c r="D39" i="1" s="1"/>
  <c r="E39" i="1" s="1"/>
  <c r="C40" i="1" l="1"/>
  <c r="D40" i="1" s="1"/>
  <c r="E40" i="1" s="1"/>
  <c r="C41" i="1" l="1"/>
  <c r="D41" i="1" s="1"/>
  <c r="E41" i="1"/>
  <c r="C42" i="1" l="1"/>
  <c r="D42" i="1" s="1"/>
  <c r="E42" i="1"/>
  <c r="C43" i="1" l="1"/>
  <c r="D43" i="1" s="1"/>
  <c r="E43" i="1"/>
  <c r="C44" i="1" l="1"/>
  <c r="D44" i="1" s="1"/>
  <c r="E44" i="1"/>
  <c r="C45" i="1" l="1"/>
  <c r="D45" i="1" s="1"/>
  <c r="E45" i="1" s="1"/>
  <c r="C46" i="1" l="1"/>
  <c r="D46" i="1" s="1"/>
  <c r="E46" i="1" s="1"/>
  <c r="C47" i="1" l="1"/>
  <c r="D47" i="1" s="1"/>
  <c r="E47" i="1" s="1"/>
  <c r="C48" i="1" l="1"/>
  <c r="D48" i="1" s="1"/>
  <c r="E48" i="1" s="1"/>
  <c r="C49" i="1" l="1"/>
  <c r="D49" i="1" s="1"/>
  <c r="E49" i="1" s="1"/>
  <c r="C50" i="1" l="1"/>
  <c r="D50" i="1" s="1"/>
  <c r="E50" i="1" s="1"/>
  <c r="C51" i="1" l="1"/>
  <c r="D51" i="1" s="1"/>
  <c r="E51" i="1" s="1"/>
  <c r="C52" i="1" l="1"/>
  <c r="D52" i="1" s="1"/>
  <c r="E52" i="1" s="1"/>
  <c r="C53" i="1" l="1"/>
  <c r="D53" i="1" s="1"/>
  <c r="E53" i="1" s="1"/>
  <c r="C54" i="1" l="1"/>
  <c r="D54" i="1" s="1"/>
  <c r="E54" i="1" s="1"/>
  <c r="C55" i="1" l="1"/>
  <c r="D55" i="1" s="1"/>
  <c r="E55" i="1" s="1"/>
  <c r="C56" i="1" l="1"/>
  <c r="D56" i="1" s="1"/>
  <c r="E56" i="1" s="1"/>
  <c r="C57" i="1" l="1"/>
  <c r="D57" i="1" s="1"/>
  <c r="E57" i="1"/>
  <c r="C58" i="1" l="1"/>
  <c r="D58" i="1" s="1"/>
  <c r="E58" i="1"/>
  <c r="C59" i="1" l="1"/>
  <c r="D59" i="1" s="1"/>
  <c r="E59" i="1"/>
  <c r="C60" i="1" l="1"/>
  <c r="D60" i="1" s="1"/>
  <c r="E60" i="1" s="1"/>
  <c r="C61" i="1" l="1"/>
  <c r="D61" i="1" s="1"/>
  <c r="E61" i="1" s="1"/>
  <c r="C62" i="1" l="1"/>
  <c r="D62" i="1" s="1"/>
  <c r="E62" i="1" s="1"/>
  <c r="C63" i="1" l="1"/>
  <c r="D63" i="1" s="1"/>
  <c r="E63" i="1" s="1"/>
  <c r="C64" i="1" l="1"/>
  <c r="D64" i="1" s="1"/>
  <c r="E64" i="1" s="1"/>
  <c r="C65" i="1" l="1"/>
  <c r="D65" i="1" s="1"/>
  <c r="E65" i="1"/>
  <c r="C66" i="1" l="1"/>
  <c r="D66" i="1" s="1"/>
  <c r="E66" i="1"/>
  <c r="C67" i="1" l="1"/>
  <c r="D67" i="1" s="1"/>
  <c r="E67" i="1"/>
  <c r="C68" i="1" l="1"/>
  <c r="D68" i="1" s="1"/>
  <c r="E68" i="1"/>
  <c r="C69" i="1" l="1"/>
  <c r="D69" i="1" s="1"/>
  <c r="E69" i="1"/>
  <c r="C70" i="1" l="1"/>
  <c r="D70" i="1" s="1"/>
  <c r="E70" i="1" s="1"/>
  <c r="C71" i="1" l="1"/>
  <c r="D71" i="1" s="1"/>
  <c r="E71" i="1" s="1"/>
  <c r="C72" i="1" l="1"/>
  <c r="D72" i="1" s="1"/>
  <c r="E72" i="1" s="1"/>
  <c r="C73" i="1" l="1"/>
  <c r="D73" i="1" s="1"/>
  <c r="E73" i="1"/>
  <c r="C74" i="1" l="1"/>
  <c r="D74" i="1" s="1"/>
  <c r="E74" i="1" s="1"/>
  <c r="C75" i="1" l="1"/>
  <c r="D75" i="1" s="1"/>
  <c r="E75" i="1" s="1"/>
  <c r="C76" i="1" l="1"/>
  <c r="D76" i="1" s="1"/>
  <c r="E76" i="1" s="1"/>
  <c r="C77" i="1" l="1"/>
  <c r="D77" i="1" s="1"/>
  <c r="E77" i="1" s="1"/>
  <c r="C78" i="1" l="1"/>
  <c r="D78" i="1" s="1"/>
  <c r="E78" i="1" s="1"/>
  <c r="C79" i="1" l="1"/>
  <c r="D79" i="1" s="1"/>
  <c r="E79" i="1" s="1"/>
  <c r="C80" i="1" l="1"/>
  <c r="D80" i="1" s="1"/>
  <c r="E80" i="1" s="1"/>
  <c r="C81" i="1" l="1"/>
  <c r="D81" i="1" s="1"/>
  <c r="E81" i="1"/>
  <c r="C82" i="1" l="1"/>
  <c r="D82" i="1" s="1"/>
  <c r="E82" i="1"/>
  <c r="C83" i="1" l="1"/>
  <c r="D83" i="1" s="1"/>
  <c r="E83" i="1" s="1"/>
  <c r="C84" i="1" l="1"/>
  <c r="D84" i="1" s="1"/>
  <c r="E84" i="1" s="1"/>
  <c r="C85" i="1" l="1"/>
  <c r="D85" i="1" s="1"/>
  <c r="E85" i="1" s="1"/>
  <c r="C86" i="1" l="1"/>
  <c r="D86" i="1" s="1"/>
  <c r="E86" i="1" s="1"/>
  <c r="C87" i="1" l="1"/>
  <c r="D87" i="1" s="1"/>
  <c r="E87" i="1" s="1"/>
  <c r="C88" i="1" l="1"/>
  <c r="D88" i="1" s="1"/>
  <c r="E88" i="1" s="1"/>
  <c r="C89" i="1" l="1"/>
  <c r="D89" i="1" s="1"/>
  <c r="E89" i="1"/>
  <c r="C90" i="1" l="1"/>
  <c r="D90" i="1" s="1"/>
  <c r="E90" i="1" s="1"/>
  <c r="C91" i="1" l="1"/>
  <c r="D91" i="1" s="1"/>
  <c r="E91" i="1" s="1"/>
  <c r="E92" i="1" l="1"/>
  <c r="C92" i="1"/>
  <c r="D92" i="1" s="1"/>
  <c r="C93" i="1" l="1"/>
  <c r="D93" i="1" s="1"/>
  <c r="E93" i="1" s="1"/>
  <c r="C94" i="1" l="1"/>
  <c r="D94" i="1" s="1"/>
  <c r="E94" i="1" s="1"/>
  <c r="C95" i="1" l="1"/>
  <c r="D95" i="1" s="1"/>
  <c r="E95" i="1" s="1"/>
  <c r="C96" i="1" l="1"/>
  <c r="D96" i="1" s="1"/>
  <c r="E96" i="1" s="1"/>
  <c r="C97" i="1" l="1"/>
  <c r="D97" i="1" s="1"/>
  <c r="E97" i="1" s="1"/>
  <c r="C98" i="1" l="1"/>
  <c r="D98" i="1" s="1"/>
  <c r="E98" i="1" s="1"/>
  <c r="C99" i="1" l="1"/>
  <c r="D99" i="1" s="1"/>
  <c r="E99" i="1" s="1"/>
  <c r="C100" i="1" l="1"/>
  <c r="D100" i="1" s="1"/>
  <c r="E100" i="1" s="1"/>
  <c r="C101" i="1" l="1"/>
  <c r="D101" i="1" s="1"/>
  <c r="E101" i="1" s="1"/>
  <c r="C102" i="1" l="1"/>
  <c r="D102" i="1" s="1"/>
  <c r="E102" i="1" s="1"/>
  <c r="E103" i="1" l="1"/>
  <c r="C103" i="1"/>
  <c r="D103" i="1" s="1"/>
  <c r="C104" i="1" l="1"/>
  <c r="D104" i="1" s="1"/>
  <c r="E104" i="1" s="1"/>
  <c r="C105" i="1" l="1"/>
  <c r="D105" i="1" s="1"/>
  <c r="E105" i="1" s="1"/>
  <c r="C106" i="1" l="1"/>
  <c r="D106" i="1" s="1"/>
  <c r="E106" i="1"/>
  <c r="C107" i="1" l="1"/>
  <c r="D107" i="1" s="1"/>
  <c r="E107" i="1" s="1"/>
  <c r="C108" i="1" l="1"/>
  <c r="D108" i="1" s="1"/>
  <c r="E108" i="1" s="1"/>
  <c r="C109" i="1" l="1"/>
  <c r="D109" i="1" s="1"/>
  <c r="E109" i="1" s="1"/>
  <c r="E110" i="1" l="1"/>
  <c r="C110" i="1"/>
  <c r="D110" i="1" s="1"/>
  <c r="C111" i="1" l="1"/>
  <c r="D111" i="1" s="1"/>
  <c r="E111" i="1" s="1"/>
  <c r="C112" i="1" l="1"/>
  <c r="D112" i="1" s="1"/>
  <c r="E112" i="1" s="1"/>
  <c r="E113" i="1" l="1"/>
  <c r="C113" i="1"/>
  <c r="D113" i="1" s="1"/>
  <c r="C114" i="1" l="1"/>
  <c r="D114" i="1" s="1"/>
  <c r="E114" i="1" s="1"/>
  <c r="E115" i="1" l="1"/>
  <c r="C115" i="1"/>
  <c r="D115" i="1" s="1"/>
  <c r="E116" i="1" l="1"/>
  <c r="C116" i="1"/>
  <c r="D116" i="1" s="1"/>
  <c r="E117" i="1" l="1"/>
  <c r="C117" i="1"/>
  <c r="D117" i="1" s="1"/>
  <c r="E118" i="1" l="1"/>
  <c r="C118" i="1"/>
  <c r="D118" i="1" s="1"/>
  <c r="C119" i="1" l="1"/>
  <c r="D119" i="1" s="1"/>
  <c r="E119" i="1" s="1"/>
  <c r="E120" i="1" l="1"/>
  <c r="C120" i="1"/>
  <c r="D120" i="1" s="1"/>
  <c r="C121" i="1" l="1"/>
  <c r="D121" i="1" s="1"/>
  <c r="E121" i="1" s="1"/>
  <c r="C122" i="1" l="1"/>
  <c r="D122" i="1" s="1"/>
  <c r="E122" i="1" s="1"/>
  <c r="C123" i="1" l="1"/>
  <c r="D123" i="1" s="1"/>
  <c r="E123" i="1" s="1"/>
  <c r="C124" i="1" l="1"/>
  <c r="D124" i="1" s="1"/>
  <c r="E124" i="1" s="1"/>
  <c r="C125" i="1" l="1"/>
  <c r="D125" i="1" s="1"/>
  <c r="E125" i="1" s="1"/>
  <c r="C126" i="1" l="1"/>
  <c r="D126" i="1" s="1"/>
  <c r="E126" i="1" s="1"/>
  <c r="C127" i="1" l="1"/>
  <c r="D127" i="1" s="1"/>
  <c r="E127" i="1" s="1"/>
  <c r="C128" i="1" l="1"/>
  <c r="D128" i="1" s="1"/>
  <c r="E128" i="1" s="1"/>
  <c r="C129" i="1" l="1"/>
  <c r="D129" i="1" s="1"/>
  <c r="E129" i="1" s="1"/>
  <c r="C130" i="1" l="1"/>
  <c r="D130" i="1" s="1"/>
  <c r="E130" i="1" s="1"/>
  <c r="C131" i="1" l="1"/>
  <c r="D131" i="1" s="1"/>
  <c r="E131" i="1"/>
  <c r="C132" i="1" l="1"/>
  <c r="D132" i="1" s="1"/>
  <c r="E132" i="1"/>
  <c r="C133" i="1" l="1"/>
  <c r="D133" i="1" s="1"/>
  <c r="E133" i="1"/>
  <c r="C134" i="1" l="1"/>
  <c r="D134" i="1" s="1"/>
  <c r="E134" i="1" s="1"/>
  <c r="C135" i="1" l="1"/>
  <c r="D135" i="1" s="1"/>
  <c r="E135" i="1" s="1"/>
  <c r="C136" i="1" l="1"/>
  <c r="D136" i="1" s="1"/>
  <c r="E136" i="1" s="1"/>
  <c r="C137" i="1" l="1"/>
  <c r="D137" i="1" s="1"/>
  <c r="E137" i="1"/>
  <c r="C138" i="1" l="1"/>
  <c r="D138" i="1" s="1"/>
  <c r="E138" i="1" s="1"/>
  <c r="E139" i="1" l="1"/>
  <c r="C139" i="1"/>
  <c r="D139" i="1" s="1"/>
  <c r="C140" i="1" l="1"/>
  <c r="D140" i="1" s="1"/>
  <c r="E140" i="1" s="1"/>
  <c r="C141" i="1" l="1"/>
  <c r="D141" i="1" s="1"/>
  <c r="E141" i="1" s="1"/>
  <c r="C142" i="1" l="1"/>
  <c r="D142" i="1" s="1"/>
  <c r="E142" i="1" s="1"/>
  <c r="C143" i="1" l="1"/>
  <c r="D143" i="1" s="1"/>
  <c r="E143" i="1" s="1"/>
  <c r="C144" i="1" l="1"/>
  <c r="D144" i="1" s="1"/>
  <c r="E144" i="1" s="1"/>
  <c r="C145" i="1" l="1"/>
  <c r="D145" i="1" s="1"/>
  <c r="E145" i="1"/>
  <c r="C146" i="1" l="1"/>
  <c r="D146" i="1" s="1"/>
  <c r="E146" i="1"/>
  <c r="C147" i="1" l="1"/>
  <c r="D147" i="1" s="1"/>
  <c r="E147" i="1" s="1"/>
  <c r="C148" i="1" l="1"/>
  <c r="D148" i="1" s="1"/>
  <c r="E148" i="1" s="1"/>
  <c r="C149" i="1" l="1"/>
  <c r="D149" i="1" s="1"/>
  <c r="E149" i="1" s="1"/>
  <c r="C150" i="1" l="1"/>
  <c r="D150" i="1" s="1"/>
  <c r="E150" i="1" s="1"/>
  <c r="C151" i="1" l="1"/>
  <c r="D151" i="1" s="1"/>
  <c r="E151" i="1" s="1"/>
  <c r="E152" i="1" l="1"/>
  <c r="C152" i="1"/>
  <c r="D152" i="1" s="1"/>
  <c r="C153" i="1" l="1"/>
  <c r="D153" i="1" s="1"/>
  <c r="E153" i="1"/>
  <c r="C154" i="1" l="1"/>
  <c r="D154" i="1" s="1"/>
  <c r="E154" i="1"/>
  <c r="C155" i="1" l="1"/>
  <c r="D155" i="1" s="1"/>
  <c r="E155" i="1"/>
  <c r="E156" i="1" l="1"/>
  <c r="C156" i="1"/>
  <c r="D156" i="1" s="1"/>
  <c r="C157" i="1" l="1"/>
  <c r="D157" i="1" s="1"/>
  <c r="E157" i="1"/>
  <c r="C158" i="1" l="1"/>
  <c r="D158" i="1" s="1"/>
  <c r="E158" i="1" s="1"/>
  <c r="C159" i="1" l="1"/>
  <c r="D159" i="1" s="1"/>
  <c r="E159" i="1" s="1"/>
  <c r="C160" i="1" l="1"/>
  <c r="D160" i="1" s="1"/>
  <c r="E160" i="1" s="1"/>
  <c r="C161" i="1" l="1"/>
  <c r="D161" i="1" s="1"/>
  <c r="E161" i="1"/>
  <c r="C162" i="1" l="1"/>
  <c r="D162" i="1" s="1"/>
  <c r="E162" i="1" s="1"/>
  <c r="C163" i="1" l="1"/>
  <c r="D163" i="1" s="1"/>
  <c r="E163" i="1" s="1"/>
  <c r="C164" i="1" l="1"/>
  <c r="D164" i="1" s="1"/>
  <c r="E164" i="1" s="1"/>
  <c r="E165" i="1" l="1"/>
  <c r="C165" i="1"/>
  <c r="D165" i="1" s="1"/>
  <c r="C166" i="1" l="1"/>
  <c r="D166" i="1" s="1"/>
  <c r="E166" i="1" s="1"/>
  <c r="E167" i="1" l="1"/>
  <c r="C167" i="1"/>
  <c r="D167" i="1" s="1"/>
  <c r="E168" i="1" l="1"/>
  <c r="C168" i="1"/>
  <c r="D168" i="1" s="1"/>
  <c r="C169" i="1" l="1"/>
  <c r="D169" i="1" s="1"/>
  <c r="E169" i="1" s="1"/>
  <c r="C170" i="1" l="1"/>
  <c r="D170" i="1" s="1"/>
  <c r="E170" i="1" s="1"/>
  <c r="C171" i="1" l="1"/>
  <c r="D171" i="1" s="1"/>
  <c r="E171" i="1" s="1"/>
  <c r="C172" i="1" l="1"/>
  <c r="D172" i="1" s="1"/>
  <c r="E172" i="1" s="1"/>
  <c r="E173" i="1" l="1"/>
  <c r="C173" i="1"/>
  <c r="D173" i="1" s="1"/>
  <c r="C174" i="1" l="1"/>
  <c r="D174" i="1" s="1"/>
  <c r="E174" i="1" s="1"/>
  <c r="C175" i="1" l="1"/>
  <c r="D175" i="1" s="1"/>
  <c r="E175" i="1" s="1"/>
  <c r="C176" i="1" l="1"/>
  <c r="D176" i="1" s="1"/>
  <c r="E176" i="1" s="1"/>
  <c r="C177" i="1" l="1"/>
  <c r="D177" i="1" s="1"/>
  <c r="E177" i="1" s="1"/>
  <c r="C178" i="1" l="1"/>
  <c r="D178" i="1" s="1"/>
  <c r="E178" i="1" s="1"/>
  <c r="E179" i="1" l="1"/>
  <c r="C179" i="1"/>
  <c r="D179" i="1" s="1"/>
  <c r="C180" i="1" l="1"/>
  <c r="D180" i="1" s="1"/>
  <c r="E180" i="1" s="1"/>
  <c r="C181" i="1" l="1"/>
  <c r="D181" i="1" s="1"/>
  <c r="E181" i="1" s="1"/>
  <c r="C182" i="1" l="1"/>
  <c r="D182" i="1" s="1"/>
  <c r="E182" i="1" s="1"/>
  <c r="C183" i="1" l="1"/>
  <c r="D183" i="1" s="1"/>
  <c r="E183" i="1" s="1"/>
  <c r="E184" i="1" l="1"/>
  <c r="C184" i="1"/>
  <c r="D184" i="1" s="1"/>
  <c r="C185" i="1" l="1"/>
  <c r="D185" i="1" s="1"/>
  <c r="E185" i="1"/>
  <c r="C186" i="1" l="1"/>
  <c r="D186" i="1" s="1"/>
  <c r="E186" i="1" s="1"/>
  <c r="C187" i="1" l="1"/>
  <c r="D187" i="1" s="1"/>
  <c r="E187" i="1" s="1"/>
  <c r="C188" i="1" l="1"/>
  <c r="D188" i="1" s="1"/>
  <c r="E188" i="1" s="1"/>
  <c r="C189" i="1" l="1"/>
  <c r="D189" i="1" s="1"/>
  <c r="E189" i="1" s="1"/>
  <c r="C190" i="1" l="1"/>
  <c r="D190" i="1" s="1"/>
  <c r="E190" i="1" s="1"/>
  <c r="C191" i="1" l="1"/>
  <c r="D191" i="1" s="1"/>
  <c r="E191" i="1" s="1"/>
  <c r="C192" i="1" l="1"/>
  <c r="D192" i="1" s="1"/>
  <c r="E192" i="1" s="1"/>
  <c r="C193" i="1" l="1"/>
  <c r="D193" i="1" s="1"/>
  <c r="E193" i="1"/>
  <c r="C194" i="1" l="1"/>
  <c r="D194" i="1" s="1"/>
  <c r="E194" i="1" s="1"/>
  <c r="C195" i="1" l="1"/>
  <c r="D195" i="1" s="1"/>
  <c r="E195" i="1"/>
  <c r="C196" i="1" l="1"/>
  <c r="D196" i="1" s="1"/>
  <c r="E196" i="1" s="1"/>
  <c r="C197" i="1" l="1"/>
  <c r="D197" i="1" s="1"/>
  <c r="E197" i="1"/>
  <c r="C198" i="1" l="1"/>
  <c r="D198" i="1" s="1"/>
  <c r="E198" i="1" s="1"/>
  <c r="C199" i="1" l="1"/>
  <c r="D199" i="1" s="1"/>
  <c r="E199" i="1" s="1"/>
  <c r="E200" i="1" l="1"/>
  <c r="C200" i="1"/>
  <c r="D200" i="1" s="1"/>
  <c r="C201" i="1" l="1"/>
  <c r="D201" i="1" s="1"/>
  <c r="E201" i="1"/>
  <c r="C202" i="1" l="1"/>
  <c r="D202" i="1" s="1"/>
  <c r="E202" i="1" s="1"/>
  <c r="C203" i="1" l="1"/>
  <c r="D203" i="1" s="1"/>
  <c r="E203" i="1" s="1"/>
  <c r="C204" i="1" l="1"/>
  <c r="D204" i="1" s="1"/>
  <c r="E204" i="1" s="1"/>
  <c r="C205" i="1" l="1"/>
  <c r="D205" i="1" s="1"/>
  <c r="E205" i="1" s="1"/>
  <c r="C206" i="1" l="1"/>
  <c r="D206" i="1" s="1"/>
  <c r="E206" i="1" s="1"/>
  <c r="C207" i="1" l="1"/>
  <c r="D207" i="1" s="1"/>
  <c r="E207" i="1" s="1"/>
  <c r="C208" i="1" l="1"/>
  <c r="D208" i="1" s="1"/>
  <c r="E208" i="1" s="1"/>
  <c r="C209" i="1" l="1"/>
  <c r="D209" i="1" s="1"/>
  <c r="E209" i="1"/>
  <c r="C210" i="1" l="1"/>
  <c r="D210" i="1" s="1"/>
  <c r="E210" i="1"/>
  <c r="C211" i="1" l="1"/>
  <c r="D211" i="1" s="1"/>
  <c r="E211" i="1" s="1"/>
  <c r="C212" i="1" l="1"/>
  <c r="D212" i="1" s="1"/>
  <c r="E212" i="1" s="1"/>
  <c r="C213" i="1" l="1"/>
  <c r="D213" i="1" s="1"/>
  <c r="E213" i="1" s="1"/>
  <c r="C214" i="1" l="1"/>
  <c r="D214" i="1" s="1"/>
  <c r="E214" i="1" s="1"/>
  <c r="E215" i="1" l="1"/>
  <c r="C215" i="1"/>
  <c r="D215" i="1" s="1"/>
  <c r="E216" i="1" l="1"/>
  <c r="C216" i="1"/>
  <c r="D216" i="1" s="1"/>
  <c r="C217" i="1" l="1"/>
  <c r="D217" i="1" s="1"/>
  <c r="E217" i="1" s="1"/>
  <c r="C218" i="1" l="1"/>
  <c r="D218" i="1" s="1"/>
  <c r="E218" i="1"/>
  <c r="C219" i="1" l="1"/>
  <c r="D219" i="1" s="1"/>
  <c r="E219" i="1" s="1"/>
  <c r="C220" i="1" l="1"/>
  <c r="D220" i="1" s="1"/>
  <c r="E220" i="1" s="1"/>
  <c r="C221" i="1" l="1"/>
  <c r="D221" i="1" s="1"/>
  <c r="E221" i="1"/>
  <c r="C222" i="1" l="1"/>
  <c r="D222" i="1" s="1"/>
  <c r="E222" i="1" s="1"/>
  <c r="C223" i="1" l="1"/>
  <c r="D223" i="1" s="1"/>
  <c r="E223" i="1" s="1"/>
  <c r="C224" i="1" l="1"/>
  <c r="D224" i="1" s="1"/>
  <c r="E224" i="1" s="1"/>
  <c r="C225" i="1" l="1"/>
  <c r="D225" i="1" s="1"/>
  <c r="E225" i="1" s="1"/>
  <c r="C226" i="1" l="1"/>
  <c r="D226" i="1" s="1"/>
  <c r="E226" i="1" s="1"/>
  <c r="C227" i="1" l="1"/>
  <c r="D227" i="1" s="1"/>
  <c r="E227" i="1" s="1"/>
  <c r="C228" i="1" l="1"/>
  <c r="D228" i="1" s="1"/>
  <c r="E228" i="1" s="1"/>
  <c r="C229" i="1" l="1"/>
  <c r="D229" i="1" s="1"/>
  <c r="E229" i="1" s="1"/>
  <c r="C230" i="1" l="1"/>
  <c r="D230" i="1" s="1"/>
  <c r="E230" i="1" s="1"/>
  <c r="C231" i="1" l="1"/>
  <c r="D231" i="1" s="1"/>
  <c r="E231" i="1" s="1"/>
  <c r="C232" i="1" l="1"/>
  <c r="D232" i="1" s="1"/>
  <c r="E232" i="1" s="1"/>
  <c r="C233" i="1" l="1"/>
  <c r="D233" i="1" s="1"/>
  <c r="E233" i="1" s="1"/>
  <c r="C234" i="1" l="1"/>
  <c r="D234" i="1" s="1"/>
  <c r="E234" i="1" s="1"/>
  <c r="E235" i="1" l="1"/>
  <c r="C235" i="1"/>
  <c r="D235" i="1" s="1"/>
  <c r="C236" i="1" l="1"/>
  <c r="D236" i="1" s="1"/>
  <c r="E236" i="1" s="1"/>
  <c r="C237" i="1" l="1"/>
  <c r="D237" i="1" s="1"/>
  <c r="E237" i="1" s="1"/>
  <c r="C238" i="1" l="1"/>
  <c r="D238" i="1" s="1"/>
  <c r="E238" i="1" s="1"/>
  <c r="C239" i="1" l="1"/>
  <c r="D239" i="1" s="1"/>
  <c r="E239" i="1" s="1"/>
  <c r="C240" i="1" l="1"/>
  <c r="D240" i="1" s="1"/>
  <c r="E240" i="1" s="1"/>
  <c r="C241" i="1" l="1"/>
  <c r="D241" i="1" s="1"/>
  <c r="E241" i="1" s="1"/>
  <c r="C242" i="1" l="1"/>
  <c r="D242" i="1" s="1"/>
  <c r="E242" i="1" s="1"/>
  <c r="E243" i="1" l="1"/>
  <c r="C243" i="1"/>
  <c r="D243" i="1" s="1"/>
  <c r="C244" i="1" l="1"/>
  <c r="D244" i="1" s="1"/>
  <c r="E244" i="1" s="1"/>
  <c r="C245" i="1" l="1"/>
  <c r="D245" i="1" s="1"/>
  <c r="E245" i="1"/>
  <c r="C246" i="1" l="1"/>
  <c r="D246" i="1" s="1"/>
  <c r="E246" i="1" s="1"/>
  <c r="E247" i="1" l="1"/>
  <c r="C247" i="1"/>
  <c r="D247" i="1" s="1"/>
  <c r="C248" i="1" l="1"/>
  <c r="D248" i="1" s="1"/>
  <c r="E248" i="1" s="1"/>
  <c r="C249" i="1" l="1"/>
  <c r="D249" i="1" s="1"/>
  <c r="E249" i="1" s="1"/>
  <c r="C250" i="1" l="1"/>
  <c r="D250" i="1" s="1"/>
  <c r="E250" i="1"/>
  <c r="C251" i="1" l="1"/>
  <c r="D251" i="1" s="1"/>
  <c r="E251" i="1" s="1"/>
  <c r="C252" i="1" l="1"/>
  <c r="D252" i="1" s="1"/>
  <c r="E252" i="1" s="1"/>
  <c r="C253" i="1" l="1"/>
  <c r="D253" i="1" s="1"/>
  <c r="E253" i="1" s="1"/>
  <c r="E254" i="1" l="1"/>
  <c r="C254" i="1"/>
  <c r="D254" i="1" s="1"/>
  <c r="C255" i="1" l="1"/>
  <c r="D255" i="1" s="1"/>
  <c r="E255" i="1" s="1"/>
  <c r="C256" i="1" l="1"/>
  <c r="D256" i="1" s="1"/>
  <c r="E256" i="1" s="1"/>
  <c r="C257" i="1" l="1"/>
  <c r="D257" i="1" s="1"/>
  <c r="E257" i="1" s="1"/>
  <c r="C258" i="1" l="1"/>
  <c r="D258" i="1" s="1"/>
  <c r="E258" i="1" s="1"/>
  <c r="C259" i="1" l="1"/>
  <c r="D259" i="1" s="1"/>
  <c r="E259" i="1" s="1"/>
  <c r="C260" i="1" l="1"/>
  <c r="D260" i="1" s="1"/>
  <c r="E260" i="1" s="1"/>
  <c r="C261" i="1" l="1"/>
  <c r="D261" i="1" s="1"/>
  <c r="E261" i="1"/>
  <c r="E262" i="1" l="1"/>
  <c r="C262" i="1"/>
  <c r="D262" i="1" s="1"/>
  <c r="C263" i="1" l="1"/>
  <c r="D263" i="1" s="1"/>
  <c r="E263" i="1" s="1"/>
  <c r="C264" i="1" l="1"/>
  <c r="D264" i="1" s="1"/>
  <c r="E264" i="1" s="1"/>
  <c r="C265" i="1" l="1"/>
  <c r="D265" i="1" s="1"/>
  <c r="E265" i="1" s="1"/>
  <c r="C266" i="1" l="1"/>
  <c r="D266" i="1" s="1"/>
  <c r="E266" i="1" s="1"/>
  <c r="C267" i="1" l="1"/>
  <c r="D267" i="1" s="1"/>
  <c r="E267" i="1" s="1"/>
  <c r="C268" i="1" l="1"/>
  <c r="D268" i="1" s="1"/>
  <c r="E268" i="1" s="1"/>
  <c r="E269" i="1" l="1"/>
  <c r="C269" i="1"/>
  <c r="D269" i="1" s="1"/>
  <c r="C270" i="1" l="1"/>
  <c r="D270" i="1" s="1"/>
  <c r="E270" i="1" s="1"/>
  <c r="E271" i="1" l="1"/>
  <c r="C271" i="1"/>
  <c r="D271" i="1" s="1"/>
  <c r="C272" i="1" l="1"/>
  <c r="D272" i="1" s="1"/>
  <c r="E272" i="1" s="1"/>
  <c r="C273" i="1" l="1"/>
  <c r="D273" i="1" s="1"/>
  <c r="E273" i="1"/>
  <c r="C274" i="1" l="1"/>
  <c r="D274" i="1" s="1"/>
  <c r="E274" i="1" s="1"/>
  <c r="C275" i="1" l="1"/>
  <c r="D275" i="1" s="1"/>
  <c r="E275" i="1" s="1"/>
  <c r="C276" i="1" l="1"/>
  <c r="D276" i="1" s="1"/>
  <c r="E276" i="1" s="1"/>
  <c r="C277" i="1" l="1"/>
  <c r="D277" i="1" s="1"/>
  <c r="E277" i="1" s="1"/>
  <c r="C278" i="1" l="1"/>
  <c r="D278" i="1" s="1"/>
  <c r="E278" i="1" s="1"/>
  <c r="C279" i="1" l="1"/>
  <c r="D279" i="1" s="1"/>
  <c r="E279" i="1" s="1"/>
  <c r="C280" i="1" l="1"/>
  <c r="D280" i="1" s="1"/>
  <c r="E280" i="1" s="1"/>
  <c r="C281" i="1" l="1"/>
  <c r="D281" i="1" s="1"/>
  <c r="E281" i="1" s="1"/>
  <c r="C282" i="1" l="1"/>
  <c r="D282" i="1" s="1"/>
  <c r="E282" i="1" s="1"/>
  <c r="C283" i="1" l="1"/>
  <c r="D283" i="1" s="1"/>
  <c r="E283" i="1" s="1"/>
  <c r="C284" i="1" l="1"/>
  <c r="D284" i="1" s="1"/>
  <c r="E284" i="1" s="1"/>
  <c r="C285" i="1" l="1"/>
  <c r="D285" i="1" s="1"/>
  <c r="E285" i="1"/>
  <c r="C286" i="1" l="1"/>
  <c r="D286" i="1" s="1"/>
  <c r="E286" i="1" s="1"/>
  <c r="C287" i="1" l="1"/>
  <c r="D287" i="1" s="1"/>
  <c r="E287" i="1" s="1"/>
  <c r="C288" i="1" l="1"/>
  <c r="D288" i="1" s="1"/>
  <c r="E288" i="1" s="1"/>
  <c r="C289" i="1" l="1"/>
  <c r="D289" i="1" s="1"/>
  <c r="E289" i="1"/>
  <c r="C290" i="1" l="1"/>
  <c r="D290" i="1" s="1"/>
  <c r="E290" i="1" s="1"/>
  <c r="C291" i="1" l="1"/>
  <c r="D291" i="1" s="1"/>
  <c r="E291" i="1" s="1"/>
  <c r="C292" i="1" l="1"/>
  <c r="D292" i="1" s="1"/>
  <c r="E292" i="1" s="1"/>
  <c r="C293" i="1" l="1"/>
  <c r="D293" i="1" s="1"/>
  <c r="E293" i="1" s="1"/>
  <c r="C294" i="1" l="1"/>
  <c r="D294" i="1" s="1"/>
  <c r="E294" i="1" s="1"/>
  <c r="E295" i="1" l="1"/>
  <c r="C295" i="1"/>
  <c r="D295" i="1" s="1"/>
  <c r="C296" i="1" l="1"/>
  <c r="D296" i="1" s="1"/>
  <c r="E296" i="1" s="1"/>
  <c r="E297" i="1" l="1"/>
  <c r="C297" i="1"/>
  <c r="D297" i="1" s="1"/>
  <c r="C298" i="1" l="1"/>
  <c r="D298" i="1" s="1"/>
  <c r="E298" i="1" s="1"/>
  <c r="C299" i="1" l="1"/>
  <c r="D299" i="1" s="1"/>
  <c r="E299" i="1" s="1"/>
  <c r="C300" i="1" l="1"/>
  <c r="D300" i="1" s="1"/>
  <c r="E300" i="1" s="1"/>
  <c r="C301" i="1" l="1"/>
  <c r="D301" i="1" s="1"/>
  <c r="E301" i="1" s="1"/>
  <c r="C302" i="1" l="1"/>
  <c r="D302" i="1" s="1"/>
  <c r="E302" i="1" s="1"/>
  <c r="C303" i="1" l="1"/>
  <c r="D303" i="1" s="1"/>
  <c r="E303" i="1" s="1"/>
  <c r="C304" i="1" l="1"/>
  <c r="D304" i="1" s="1"/>
  <c r="E304" i="1" s="1"/>
  <c r="C305" i="1" l="1"/>
  <c r="D305" i="1" s="1"/>
  <c r="E305" i="1" s="1"/>
  <c r="C306" i="1" l="1"/>
  <c r="D306" i="1" s="1"/>
  <c r="E306" i="1" s="1"/>
  <c r="C307" i="1" l="1"/>
  <c r="D307" i="1" s="1"/>
  <c r="E307" i="1" s="1"/>
  <c r="C308" i="1" l="1"/>
  <c r="D308" i="1" s="1"/>
  <c r="E308" i="1" s="1"/>
  <c r="C309" i="1" l="1"/>
  <c r="D309" i="1" s="1"/>
  <c r="E309" i="1"/>
  <c r="C310" i="1" l="1"/>
  <c r="D310" i="1" s="1"/>
  <c r="E310" i="1" s="1"/>
  <c r="C311" i="1" l="1"/>
  <c r="D311" i="1" s="1"/>
  <c r="E311" i="1" s="1"/>
  <c r="C312" i="1" l="1"/>
  <c r="D312" i="1" s="1"/>
  <c r="E312" i="1" s="1"/>
  <c r="C313" i="1" l="1"/>
  <c r="D313" i="1" s="1"/>
  <c r="E313" i="1"/>
  <c r="C314" i="1" l="1"/>
  <c r="D314" i="1" s="1"/>
  <c r="E314" i="1" s="1"/>
  <c r="C315" i="1" l="1"/>
  <c r="D315" i="1" s="1"/>
  <c r="E315" i="1" s="1"/>
  <c r="C316" i="1" l="1"/>
  <c r="D316" i="1" s="1"/>
  <c r="E316" i="1" s="1"/>
  <c r="C317" i="1" l="1"/>
  <c r="D317" i="1" s="1"/>
  <c r="E317" i="1" s="1"/>
  <c r="C318" i="1" l="1"/>
  <c r="D318" i="1" s="1"/>
  <c r="E318" i="1" s="1"/>
  <c r="C319" i="1" l="1"/>
  <c r="D319" i="1" s="1"/>
  <c r="E319" i="1" s="1"/>
  <c r="C320" i="1" l="1"/>
  <c r="D320" i="1" s="1"/>
  <c r="E320" i="1" s="1"/>
  <c r="C321" i="1" l="1"/>
  <c r="D321" i="1" s="1"/>
  <c r="E321" i="1" s="1"/>
  <c r="C322" i="1" l="1"/>
  <c r="D322" i="1" s="1"/>
  <c r="E322" i="1" s="1"/>
  <c r="C323" i="1" l="1"/>
  <c r="D323" i="1" s="1"/>
  <c r="E323" i="1" s="1"/>
  <c r="C324" i="1" l="1"/>
  <c r="D324" i="1" s="1"/>
  <c r="E324" i="1" s="1"/>
  <c r="C325" i="1" l="1"/>
  <c r="D325" i="1" s="1"/>
  <c r="E325" i="1"/>
  <c r="C326" i="1" l="1"/>
  <c r="D326" i="1" s="1"/>
  <c r="E326" i="1" s="1"/>
  <c r="C327" i="1" l="1"/>
  <c r="D327" i="1" s="1"/>
  <c r="E327" i="1" s="1"/>
  <c r="C328" i="1" l="1"/>
  <c r="D328" i="1" s="1"/>
  <c r="E328" i="1" s="1"/>
  <c r="C329" i="1" l="1"/>
  <c r="D329" i="1" s="1"/>
  <c r="E329" i="1" s="1"/>
  <c r="C330" i="1" l="1"/>
  <c r="D330" i="1" s="1"/>
  <c r="E330" i="1" s="1"/>
  <c r="C331" i="1" l="1"/>
  <c r="D331" i="1" s="1"/>
  <c r="E331" i="1" s="1"/>
  <c r="C332" i="1" l="1"/>
  <c r="D332" i="1" s="1"/>
  <c r="E332" i="1" s="1"/>
  <c r="C333" i="1" l="1"/>
  <c r="D333" i="1" s="1"/>
  <c r="E333" i="1" s="1"/>
  <c r="C334" i="1" l="1"/>
  <c r="D334" i="1" s="1"/>
  <c r="E334" i="1" s="1"/>
  <c r="C335" i="1" l="1"/>
  <c r="D335" i="1" s="1"/>
  <c r="E335" i="1" s="1"/>
  <c r="C336" i="1" l="1"/>
  <c r="D336" i="1" s="1"/>
  <c r="E336" i="1" s="1"/>
  <c r="C337" i="1" l="1"/>
  <c r="D337" i="1" s="1"/>
  <c r="E337" i="1"/>
  <c r="C338" i="1" l="1"/>
  <c r="D338" i="1" s="1"/>
  <c r="E338" i="1" s="1"/>
  <c r="C339" i="1" l="1"/>
  <c r="D339" i="1" s="1"/>
  <c r="E339" i="1" s="1"/>
  <c r="C340" i="1" l="1"/>
  <c r="D340" i="1" s="1"/>
  <c r="E340" i="1" s="1"/>
  <c r="C341" i="1" l="1"/>
  <c r="D341" i="1" s="1"/>
  <c r="E341" i="1" s="1"/>
  <c r="C342" i="1" l="1"/>
  <c r="D342" i="1" s="1"/>
  <c r="E342" i="1" s="1"/>
  <c r="C343" i="1" l="1"/>
  <c r="D343" i="1" s="1"/>
  <c r="E343" i="1" s="1"/>
  <c r="C344" i="1" l="1"/>
  <c r="D344" i="1" s="1"/>
  <c r="E344" i="1" s="1"/>
  <c r="C345" i="1" l="1"/>
  <c r="D345" i="1" s="1"/>
  <c r="E345" i="1" s="1"/>
  <c r="C346" i="1" l="1"/>
  <c r="D346" i="1" s="1"/>
  <c r="E346" i="1" s="1"/>
  <c r="C347" i="1" l="1"/>
  <c r="D347" i="1" s="1"/>
  <c r="E347" i="1" s="1"/>
  <c r="C348" i="1" l="1"/>
  <c r="D348" i="1" s="1"/>
  <c r="E348" i="1" s="1"/>
  <c r="C349" i="1" l="1"/>
  <c r="D349" i="1" s="1"/>
  <c r="E349" i="1"/>
  <c r="C350" i="1" l="1"/>
  <c r="D350" i="1" s="1"/>
  <c r="E350" i="1" s="1"/>
  <c r="C351" i="1" l="1"/>
  <c r="D351" i="1" s="1"/>
  <c r="E351" i="1" s="1"/>
  <c r="C352" i="1" l="1"/>
  <c r="D352" i="1" s="1"/>
  <c r="E352" i="1" s="1"/>
  <c r="C353" i="1" l="1"/>
  <c r="D353" i="1" s="1"/>
  <c r="E353" i="1"/>
  <c r="C354" i="1" l="1"/>
  <c r="D354" i="1" s="1"/>
  <c r="E354" i="1" s="1"/>
  <c r="C355" i="1" l="1"/>
  <c r="D355" i="1" s="1"/>
  <c r="E355" i="1" s="1"/>
  <c r="C356" i="1" l="1"/>
  <c r="D356" i="1" s="1"/>
  <c r="E356" i="1" s="1"/>
  <c r="C357" i="1" l="1"/>
  <c r="D357" i="1" s="1"/>
  <c r="E357" i="1" s="1"/>
  <c r="E358" i="1" l="1"/>
  <c r="C358" i="1"/>
  <c r="D358" i="1" s="1"/>
  <c r="C359" i="1" l="1"/>
  <c r="D359" i="1" s="1"/>
  <c r="E359" i="1" s="1"/>
  <c r="C360" i="1" l="1"/>
  <c r="D360" i="1" s="1"/>
  <c r="E360" i="1" s="1"/>
  <c r="C361" i="1" l="1"/>
  <c r="D361" i="1" s="1"/>
  <c r="E361" i="1" s="1"/>
  <c r="C362" i="1" l="1"/>
  <c r="D362" i="1" s="1"/>
  <c r="E362" i="1" s="1"/>
  <c r="C363" i="1" l="1"/>
  <c r="D363" i="1" s="1"/>
  <c r="E363" i="1" s="1"/>
</calcChain>
</file>

<file path=xl/sharedStrings.xml><?xml version="1.0" encoding="utf-8"?>
<sst xmlns="http://schemas.openxmlformats.org/spreadsheetml/2006/main" count="11" uniqueCount="11">
  <si>
    <t>period</t>
  </si>
  <si>
    <t>payment</t>
  </si>
  <si>
    <t>interest</t>
  </si>
  <si>
    <t>principal</t>
  </si>
  <si>
    <t>carrying value</t>
  </si>
  <si>
    <t>price</t>
  </si>
  <si>
    <t>interest rate</t>
  </si>
  <si>
    <t>term (years)</t>
  </si>
  <si>
    <t>down payment %</t>
  </si>
  <si>
    <t>loan amount</t>
  </si>
  <si>
    <t>change this based on down payment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</si>
</sst>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2" fillId="0" borderId="1" xfId="0" applyFont="1" applyBorder="1"/>
    <xf numFmtId="9" fontId="0" fillId="0" borderId="0" xfId="1" applyFont="1"/>
    <xf numFmtId="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01CE-4DCD-0543-A932-A10F50C82B6C}">
  <dimension ref="A2:I363"/>
  <sheetViews>
    <sheetView tabSelected="1" workbookViewId="0">
      <selection activeCell="I6" sqref="I6"/>
    </sheetView>
  </sheetViews>
  <sheetFormatPr baseColWidth="10" defaultRowHeight="16" x14ac:dyDescent="0.2"/>
  <cols>
    <col min="2" max="2" width="11.5" bestFit="1" customWidth="1"/>
    <col min="4" max="4" width="9.83203125" bestFit="1" customWidth="1"/>
    <col min="5" max="5" width="14" bestFit="1" customWidth="1"/>
    <col min="7" max="7" width="15.33203125" bestFit="1" customWidth="1"/>
  </cols>
  <sheetData>
    <row r="2" spans="1:9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t="s">
        <v>5</v>
      </c>
      <c r="H2" s="1">
        <v>2300000</v>
      </c>
    </row>
    <row r="3" spans="1:9" x14ac:dyDescent="0.2">
      <c r="E3" s="1">
        <f>$H$6</f>
        <v>-1840000</v>
      </c>
      <c r="G3" t="s">
        <v>6</v>
      </c>
      <c r="H3" s="2">
        <v>0.06</v>
      </c>
    </row>
    <row r="4" spans="1:9" x14ac:dyDescent="0.2">
      <c r="A4">
        <v>1</v>
      </c>
      <c r="B4" s="5">
        <f>PMT($H$3/12,$H$4*12,$H$6,0,0)</f>
        <v>11031.729662810643</v>
      </c>
      <c r="C4" s="5">
        <f>-E3*$H$3/12</f>
        <v>9200</v>
      </c>
      <c r="D4" s="5">
        <f>B4-C4</f>
        <v>1831.7296628106433</v>
      </c>
      <c r="E4" s="5">
        <f>E3+D4</f>
        <v>-1838168.2703371893</v>
      </c>
      <c r="G4" t="s">
        <v>7</v>
      </c>
      <c r="H4">
        <v>30</v>
      </c>
    </row>
    <row r="5" spans="1:9" x14ac:dyDescent="0.2">
      <c r="A5">
        <v>2</v>
      </c>
      <c r="B5" s="5">
        <f t="shared" ref="B5:B68" si="0">PMT($H$3/12,$H$4*12,$H$6,0,0)</f>
        <v>11031.729662810643</v>
      </c>
      <c r="C5" s="5">
        <f>-E4*$H$3/12</f>
        <v>9190.8413516859455</v>
      </c>
      <c r="D5" s="5">
        <f>B5-C5</f>
        <v>1840.8883111246978</v>
      </c>
      <c r="E5" s="5">
        <f>E4+D5</f>
        <v>-1836327.3820260647</v>
      </c>
      <c r="G5" t="s">
        <v>8</v>
      </c>
      <c r="H5" s="4">
        <v>0.2</v>
      </c>
    </row>
    <row r="6" spans="1:9" x14ac:dyDescent="0.2">
      <c r="A6">
        <v>3</v>
      </c>
      <c r="B6" s="5">
        <f t="shared" si="0"/>
        <v>11031.729662810643</v>
      </c>
      <c r="C6" s="5">
        <f>-E5*$H$3/12</f>
        <v>9181.6369101303226</v>
      </c>
      <c r="D6" s="5">
        <f>B6-C6</f>
        <v>1850.0927526803207</v>
      </c>
      <c r="E6" s="5">
        <f>E5+D6</f>
        <v>-1834477.2892733843</v>
      </c>
      <c r="G6" t="s">
        <v>9</v>
      </c>
      <c r="H6" s="1">
        <f>-H2*0.8</f>
        <v>-1840000</v>
      </c>
      <c r="I6" t="s">
        <v>10</v>
      </c>
    </row>
    <row r="7" spans="1:9" x14ac:dyDescent="0.2">
      <c r="A7">
        <v>4</v>
      </c>
      <c r="B7" s="5">
        <f t="shared" si="0"/>
        <v>11031.729662810643</v>
      </c>
      <c r="C7" s="5">
        <f>-E6*$H$3/12</f>
        <v>9172.3864463669215</v>
      </c>
      <c r="D7" s="5">
        <f>B7-C7</f>
        <v>1859.3432164437218</v>
      </c>
      <c r="E7" s="5">
        <f>E6+D7</f>
        <v>-1832617.9460569406</v>
      </c>
    </row>
    <row r="8" spans="1:9" x14ac:dyDescent="0.2">
      <c r="A8">
        <v>5</v>
      </c>
      <c r="B8" s="5">
        <f t="shared" si="0"/>
        <v>11031.729662810643</v>
      </c>
      <c r="C8" s="5">
        <f>-E7*$H$3/12</f>
        <v>9163.0897302847025</v>
      </c>
      <c r="D8" s="5">
        <f>B8-C8</f>
        <v>1868.6399325259408</v>
      </c>
      <c r="E8" s="5">
        <f>E7+D8</f>
        <v>-1830749.3061244146</v>
      </c>
    </row>
    <row r="9" spans="1:9" x14ac:dyDescent="0.2">
      <c r="A9">
        <v>6</v>
      </c>
      <c r="B9" s="5">
        <f t="shared" si="0"/>
        <v>11031.729662810643</v>
      </c>
      <c r="C9" s="5">
        <f>-E8*$H$3/12</f>
        <v>9153.7465306220729</v>
      </c>
      <c r="D9" s="5">
        <f>B9-C9</f>
        <v>1877.9831321885704</v>
      </c>
      <c r="E9" s="5">
        <f>E8+D9</f>
        <v>-1828871.3229922259</v>
      </c>
    </row>
    <row r="10" spans="1:9" x14ac:dyDescent="0.2">
      <c r="A10">
        <v>7</v>
      </c>
      <c r="B10" s="5">
        <f t="shared" si="0"/>
        <v>11031.729662810643</v>
      </c>
      <c r="C10" s="5">
        <f t="shared" ref="C10:C73" si="1">-E9*$H$3/12</f>
        <v>9144.3566149611288</v>
      </c>
      <c r="D10" s="5">
        <f t="shared" ref="D10:D73" si="2">B10-C10</f>
        <v>1887.3730478495145</v>
      </c>
      <c r="E10" s="5">
        <f t="shared" ref="E10:E73" si="3">E9+D10</f>
        <v>-1826983.9499443762</v>
      </c>
    </row>
    <row r="11" spans="1:9" x14ac:dyDescent="0.2">
      <c r="A11">
        <v>8</v>
      </c>
      <c r="B11" s="5">
        <f t="shared" si="0"/>
        <v>11031.729662810643</v>
      </c>
      <c r="C11" s="5">
        <f t="shared" si="1"/>
        <v>9134.9197497218811</v>
      </c>
      <c r="D11" s="5">
        <f t="shared" si="2"/>
        <v>1896.8099130887622</v>
      </c>
      <c r="E11" s="5">
        <f t="shared" si="3"/>
        <v>-1825087.1400312874</v>
      </c>
    </row>
    <row r="12" spans="1:9" x14ac:dyDescent="0.2">
      <c r="A12">
        <v>9</v>
      </c>
      <c r="B12" s="5">
        <f t="shared" si="0"/>
        <v>11031.729662810643</v>
      </c>
      <c r="C12" s="5">
        <f t="shared" si="1"/>
        <v>9125.4357001564367</v>
      </c>
      <c r="D12" s="5">
        <f t="shared" si="2"/>
        <v>1906.2939626542066</v>
      </c>
      <c r="E12" s="5">
        <f t="shared" si="3"/>
        <v>-1823180.8460686333</v>
      </c>
    </row>
    <row r="13" spans="1:9" x14ac:dyDescent="0.2">
      <c r="A13">
        <v>10</v>
      </c>
      <c r="B13" s="5">
        <f t="shared" si="0"/>
        <v>11031.729662810643</v>
      </c>
      <c r="C13" s="5">
        <f t="shared" si="1"/>
        <v>9115.9042303431652</v>
      </c>
      <c r="D13" s="5">
        <f t="shared" si="2"/>
        <v>1915.8254324674781</v>
      </c>
      <c r="E13" s="5">
        <f t="shared" si="3"/>
        <v>-1821265.0206361657</v>
      </c>
    </row>
    <row r="14" spans="1:9" x14ac:dyDescent="0.2">
      <c r="A14">
        <v>11</v>
      </c>
      <c r="B14" s="5">
        <f t="shared" si="0"/>
        <v>11031.729662810643</v>
      </c>
      <c r="C14" s="5">
        <f t="shared" si="1"/>
        <v>9106.3251031808286</v>
      </c>
      <c r="D14" s="5">
        <f t="shared" si="2"/>
        <v>1925.4045596298147</v>
      </c>
      <c r="E14" s="5">
        <f t="shared" si="3"/>
        <v>-1819339.616076536</v>
      </c>
    </row>
    <row r="15" spans="1:9" x14ac:dyDescent="0.2">
      <c r="A15">
        <v>12</v>
      </c>
      <c r="B15" s="5">
        <f t="shared" si="0"/>
        <v>11031.729662810643</v>
      </c>
      <c r="C15" s="5">
        <f t="shared" si="1"/>
        <v>9096.6980803826791</v>
      </c>
      <c r="D15" s="5">
        <f t="shared" si="2"/>
        <v>1935.0315824279642</v>
      </c>
      <c r="E15" s="5">
        <f t="shared" si="3"/>
        <v>-1817404.5844941081</v>
      </c>
    </row>
    <row r="16" spans="1:9" x14ac:dyDescent="0.2">
      <c r="A16">
        <v>13</v>
      </c>
      <c r="B16" s="5">
        <f t="shared" si="0"/>
        <v>11031.729662810643</v>
      </c>
      <c r="C16" s="5">
        <f t="shared" si="1"/>
        <v>9087.0229224705399</v>
      </c>
      <c r="D16" s="5">
        <f t="shared" si="2"/>
        <v>1944.7067403401034</v>
      </c>
      <c r="E16" s="5">
        <f t="shared" si="3"/>
        <v>-1815459.8777537679</v>
      </c>
    </row>
    <row r="17" spans="1:5" x14ac:dyDescent="0.2">
      <c r="A17">
        <v>14</v>
      </c>
      <c r="B17" s="5">
        <f t="shared" si="0"/>
        <v>11031.729662810643</v>
      </c>
      <c r="C17" s="5">
        <f t="shared" si="1"/>
        <v>9077.299388768839</v>
      </c>
      <c r="D17" s="5">
        <f t="shared" si="2"/>
        <v>1954.4302740418043</v>
      </c>
      <c r="E17" s="5">
        <f t="shared" si="3"/>
        <v>-1813505.447479726</v>
      </c>
    </row>
    <row r="18" spans="1:5" x14ac:dyDescent="0.2">
      <c r="A18">
        <v>15</v>
      </c>
      <c r="B18" s="5">
        <f t="shared" si="0"/>
        <v>11031.729662810643</v>
      </c>
      <c r="C18" s="5">
        <f t="shared" si="1"/>
        <v>9067.5272373986299</v>
      </c>
      <c r="D18" s="5">
        <f t="shared" si="2"/>
        <v>1964.2024254120133</v>
      </c>
      <c r="E18" s="5">
        <f t="shared" si="3"/>
        <v>-1811541.2450543141</v>
      </c>
    </row>
    <row r="19" spans="1:5" x14ac:dyDescent="0.2">
      <c r="A19">
        <v>16</v>
      </c>
      <c r="B19" s="5">
        <f t="shared" si="0"/>
        <v>11031.729662810643</v>
      </c>
      <c r="C19" s="5">
        <f t="shared" si="1"/>
        <v>9057.7062252715714</v>
      </c>
      <c r="D19" s="5">
        <f t="shared" si="2"/>
        <v>1974.0234375390719</v>
      </c>
      <c r="E19" s="5">
        <f t="shared" si="3"/>
        <v>-1809567.221616775</v>
      </c>
    </row>
    <row r="20" spans="1:5" x14ac:dyDescent="0.2">
      <c r="A20">
        <v>17</v>
      </c>
      <c r="B20" s="5">
        <f t="shared" si="0"/>
        <v>11031.729662810643</v>
      </c>
      <c r="C20" s="5">
        <f t="shared" si="1"/>
        <v>9047.8361080838749</v>
      </c>
      <c r="D20" s="5">
        <f t="shared" si="2"/>
        <v>1983.8935547267683</v>
      </c>
      <c r="E20" s="5">
        <f t="shared" si="3"/>
        <v>-1807583.3280620482</v>
      </c>
    </row>
    <row r="21" spans="1:5" x14ac:dyDescent="0.2">
      <c r="A21">
        <v>18</v>
      </c>
      <c r="B21" s="5">
        <f t="shared" si="0"/>
        <v>11031.729662810643</v>
      </c>
      <c r="C21" s="5">
        <f t="shared" si="1"/>
        <v>9037.9166403102408</v>
      </c>
      <c r="D21" s="5">
        <f t="shared" si="2"/>
        <v>1993.8130225004024</v>
      </c>
      <c r="E21" s="5">
        <f t="shared" si="3"/>
        <v>-1805589.5150395478</v>
      </c>
    </row>
    <row r="22" spans="1:5" x14ac:dyDescent="0.2">
      <c r="A22">
        <v>19</v>
      </c>
      <c r="B22" s="5">
        <f t="shared" si="0"/>
        <v>11031.729662810643</v>
      </c>
      <c r="C22" s="5">
        <f t="shared" si="1"/>
        <v>9027.9475751977388</v>
      </c>
      <c r="D22" s="5">
        <f t="shared" si="2"/>
        <v>2003.7820876129044</v>
      </c>
      <c r="E22" s="5">
        <f t="shared" si="3"/>
        <v>-1803585.7329519349</v>
      </c>
    </row>
    <row r="23" spans="1:5" x14ac:dyDescent="0.2">
      <c r="A23">
        <v>20</v>
      </c>
      <c r="B23" s="5">
        <f t="shared" si="0"/>
        <v>11031.729662810643</v>
      </c>
      <c r="C23" s="5">
        <f t="shared" si="1"/>
        <v>9017.9286647596746</v>
      </c>
      <c r="D23" s="5">
        <f t="shared" si="2"/>
        <v>2013.8009980509687</v>
      </c>
      <c r="E23" s="5">
        <f t="shared" si="3"/>
        <v>-1801571.931953884</v>
      </c>
    </row>
    <row r="24" spans="1:5" x14ac:dyDescent="0.2">
      <c r="A24">
        <v>21</v>
      </c>
      <c r="B24" s="5">
        <f t="shared" si="0"/>
        <v>11031.729662810643</v>
      </c>
      <c r="C24" s="5">
        <f t="shared" si="1"/>
        <v>9007.8596597694195</v>
      </c>
      <c r="D24" s="5">
        <f t="shared" si="2"/>
        <v>2023.8700030412238</v>
      </c>
      <c r="E24" s="5">
        <f t="shared" si="3"/>
        <v>-1799548.0619508428</v>
      </c>
    </row>
    <row r="25" spans="1:5" x14ac:dyDescent="0.2">
      <c r="A25">
        <v>22</v>
      </c>
      <c r="B25" s="5">
        <f t="shared" si="0"/>
        <v>11031.729662810643</v>
      </c>
      <c r="C25" s="5">
        <f t="shared" si="1"/>
        <v>8997.7403097542137</v>
      </c>
      <c r="D25" s="5">
        <f t="shared" si="2"/>
        <v>2033.9893530564295</v>
      </c>
      <c r="E25" s="5">
        <f t="shared" si="3"/>
        <v>-1797514.0725977863</v>
      </c>
    </row>
    <row r="26" spans="1:5" x14ac:dyDescent="0.2">
      <c r="A26">
        <v>23</v>
      </c>
      <c r="B26" s="5">
        <f t="shared" si="0"/>
        <v>11031.729662810643</v>
      </c>
      <c r="C26" s="5">
        <f t="shared" si="1"/>
        <v>8987.5703629889304</v>
      </c>
      <c r="D26" s="5">
        <f t="shared" si="2"/>
        <v>2044.1592998217129</v>
      </c>
      <c r="E26" s="5">
        <f t="shared" si="3"/>
        <v>-1795469.9132979645</v>
      </c>
    </row>
    <row r="27" spans="1:5" x14ac:dyDescent="0.2">
      <c r="A27">
        <v>24</v>
      </c>
      <c r="B27" s="5">
        <f t="shared" si="0"/>
        <v>11031.729662810643</v>
      </c>
      <c r="C27" s="5">
        <f t="shared" si="1"/>
        <v>8977.3495664898219</v>
      </c>
      <c r="D27" s="5">
        <f t="shared" si="2"/>
        <v>2054.3800963208214</v>
      </c>
      <c r="E27" s="5">
        <f t="shared" si="3"/>
        <v>-1793415.5332016437</v>
      </c>
    </row>
    <row r="28" spans="1:5" x14ac:dyDescent="0.2">
      <c r="A28">
        <v>25</v>
      </c>
      <c r="B28" s="5">
        <f t="shared" si="0"/>
        <v>11031.729662810643</v>
      </c>
      <c r="C28" s="5">
        <f t="shared" si="1"/>
        <v>8967.0776660082174</v>
      </c>
      <c r="D28" s="5">
        <f t="shared" si="2"/>
        <v>2064.6519968024259</v>
      </c>
      <c r="E28" s="5">
        <f t="shared" si="3"/>
        <v>-1791350.8812048412</v>
      </c>
    </row>
    <row r="29" spans="1:5" x14ac:dyDescent="0.2">
      <c r="A29">
        <v>26</v>
      </c>
      <c r="B29" s="5">
        <f t="shared" si="0"/>
        <v>11031.729662810643</v>
      </c>
      <c r="C29" s="5">
        <f t="shared" si="1"/>
        <v>8956.7544060242053</v>
      </c>
      <c r="D29" s="5">
        <f t="shared" si="2"/>
        <v>2074.975256786438</v>
      </c>
      <c r="E29" s="5">
        <f t="shared" si="3"/>
        <v>-1789275.9059480547</v>
      </c>
    </row>
    <row r="30" spans="1:5" x14ac:dyDescent="0.2">
      <c r="A30">
        <v>27</v>
      </c>
      <c r="B30" s="5">
        <f t="shared" si="0"/>
        <v>11031.729662810643</v>
      </c>
      <c r="C30" s="5">
        <f t="shared" si="1"/>
        <v>8946.3795297402739</v>
      </c>
      <c r="D30" s="5">
        <f t="shared" si="2"/>
        <v>2085.3501330703693</v>
      </c>
      <c r="E30" s="5">
        <f t="shared" si="3"/>
        <v>-1787190.5558149845</v>
      </c>
    </row>
    <row r="31" spans="1:5" x14ac:dyDescent="0.2">
      <c r="A31">
        <v>28</v>
      </c>
      <c r="B31" s="5">
        <f t="shared" si="0"/>
        <v>11031.729662810643</v>
      </c>
      <c r="C31" s="5">
        <f t="shared" si="1"/>
        <v>8935.9527790749216</v>
      </c>
      <c r="D31" s="5">
        <f t="shared" si="2"/>
        <v>2095.7768837357216</v>
      </c>
      <c r="E31" s="5">
        <f t="shared" si="3"/>
        <v>-1785094.7789312487</v>
      </c>
    </row>
    <row r="32" spans="1:5" x14ac:dyDescent="0.2">
      <c r="A32">
        <v>29</v>
      </c>
      <c r="B32" s="5">
        <f t="shared" si="0"/>
        <v>11031.729662810643</v>
      </c>
      <c r="C32" s="5">
        <f t="shared" si="1"/>
        <v>8925.4738946562429</v>
      </c>
      <c r="D32" s="5">
        <f t="shared" si="2"/>
        <v>2106.2557681544004</v>
      </c>
      <c r="E32" s="5">
        <f t="shared" si="3"/>
        <v>-1782988.5231630942</v>
      </c>
    </row>
    <row r="33" spans="1:5" x14ac:dyDescent="0.2">
      <c r="A33">
        <v>30</v>
      </c>
      <c r="B33" s="5">
        <f t="shared" si="0"/>
        <v>11031.729662810643</v>
      </c>
      <c r="C33" s="5">
        <f t="shared" si="1"/>
        <v>8914.9426158154711</v>
      </c>
      <c r="D33" s="5">
        <f t="shared" si="2"/>
        <v>2116.7870469951722</v>
      </c>
      <c r="E33" s="5">
        <f t="shared" si="3"/>
        <v>-1780871.7361160989</v>
      </c>
    </row>
    <row r="34" spans="1:5" x14ac:dyDescent="0.2">
      <c r="A34">
        <v>31</v>
      </c>
      <c r="B34" s="5">
        <f t="shared" si="0"/>
        <v>11031.729662810643</v>
      </c>
      <c r="C34" s="5">
        <f t="shared" si="1"/>
        <v>8904.3586805804935</v>
      </c>
      <c r="D34" s="5">
        <f t="shared" si="2"/>
        <v>2127.3709822301498</v>
      </c>
      <c r="E34" s="5">
        <f t="shared" si="3"/>
        <v>-1778744.3651338688</v>
      </c>
    </row>
    <row r="35" spans="1:5" x14ac:dyDescent="0.2">
      <c r="A35">
        <v>32</v>
      </c>
      <c r="B35" s="5">
        <f t="shared" si="0"/>
        <v>11031.729662810643</v>
      </c>
      <c r="C35" s="5">
        <f t="shared" si="1"/>
        <v>8893.7218256693432</v>
      </c>
      <c r="D35" s="5">
        <f t="shared" si="2"/>
        <v>2138.0078371413001</v>
      </c>
      <c r="E35" s="5">
        <f t="shared" si="3"/>
        <v>-1776606.3572967274</v>
      </c>
    </row>
    <row r="36" spans="1:5" x14ac:dyDescent="0.2">
      <c r="A36">
        <v>33</v>
      </c>
      <c r="B36" s="5">
        <f t="shared" si="0"/>
        <v>11031.729662810643</v>
      </c>
      <c r="C36" s="5">
        <f t="shared" si="1"/>
        <v>8883.0317864836361</v>
      </c>
      <c r="D36" s="5">
        <f t="shared" si="2"/>
        <v>2148.6978763270072</v>
      </c>
      <c r="E36" s="5">
        <f t="shared" si="3"/>
        <v>-1774457.6594204004</v>
      </c>
    </row>
    <row r="37" spans="1:5" x14ac:dyDescent="0.2">
      <c r="A37">
        <v>34</v>
      </c>
      <c r="B37" s="5">
        <f t="shared" si="0"/>
        <v>11031.729662810643</v>
      </c>
      <c r="C37" s="5">
        <f t="shared" si="1"/>
        <v>8872.2882971020026</v>
      </c>
      <c r="D37" s="5">
        <f t="shared" si="2"/>
        <v>2159.4413657086407</v>
      </c>
      <c r="E37" s="5">
        <f t="shared" si="3"/>
        <v>-1772298.2180546918</v>
      </c>
    </row>
    <row r="38" spans="1:5" x14ac:dyDescent="0.2">
      <c r="A38">
        <v>35</v>
      </c>
      <c r="B38" s="5">
        <f t="shared" si="0"/>
        <v>11031.729662810643</v>
      </c>
      <c r="C38" s="5">
        <f t="shared" si="1"/>
        <v>8861.4910902734591</v>
      </c>
      <c r="D38" s="5">
        <f t="shared" si="2"/>
        <v>2170.2385725371842</v>
      </c>
      <c r="E38" s="5">
        <f t="shared" si="3"/>
        <v>-1770127.9794821546</v>
      </c>
    </row>
    <row r="39" spans="1:5" x14ac:dyDescent="0.2">
      <c r="A39">
        <v>36</v>
      </c>
      <c r="B39" s="5">
        <f t="shared" si="0"/>
        <v>11031.729662810643</v>
      </c>
      <c r="C39" s="5">
        <f t="shared" si="1"/>
        <v>8850.6398974107724</v>
      </c>
      <c r="D39" s="5">
        <f t="shared" si="2"/>
        <v>2181.0897653998709</v>
      </c>
      <c r="E39" s="5">
        <f t="shared" si="3"/>
        <v>-1767946.8897167547</v>
      </c>
    </row>
    <row r="40" spans="1:5" x14ac:dyDescent="0.2">
      <c r="A40">
        <v>37</v>
      </c>
      <c r="B40" s="5">
        <f t="shared" si="0"/>
        <v>11031.729662810643</v>
      </c>
      <c r="C40" s="5">
        <f t="shared" si="1"/>
        <v>8839.734448583773</v>
      </c>
      <c r="D40" s="5">
        <f t="shared" si="2"/>
        <v>2191.9952142268703</v>
      </c>
      <c r="E40" s="5">
        <f t="shared" si="3"/>
        <v>-1765754.8945025278</v>
      </c>
    </row>
    <row r="41" spans="1:5" x14ac:dyDescent="0.2">
      <c r="A41">
        <v>38</v>
      </c>
      <c r="B41" s="5">
        <f t="shared" si="0"/>
        <v>11031.729662810643</v>
      </c>
      <c r="C41" s="5">
        <f t="shared" si="1"/>
        <v>8828.7744725126377</v>
      </c>
      <c r="D41" s="5">
        <f t="shared" si="2"/>
        <v>2202.9551902980056</v>
      </c>
      <c r="E41" s="5">
        <f t="shared" si="3"/>
        <v>-1763551.9393122299</v>
      </c>
    </row>
    <row r="42" spans="1:5" x14ac:dyDescent="0.2">
      <c r="A42">
        <v>39</v>
      </c>
      <c r="B42" s="5">
        <f t="shared" si="0"/>
        <v>11031.729662810643</v>
      </c>
      <c r="C42" s="5">
        <f t="shared" si="1"/>
        <v>8817.7596965611501</v>
      </c>
      <c r="D42" s="5">
        <f t="shared" si="2"/>
        <v>2213.9699662494932</v>
      </c>
      <c r="E42" s="5">
        <f t="shared" si="3"/>
        <v>-1761337.9693459803</v>
      </c>
    </row>
    <row r="43" spans="1:5" x14ac:dyDescent="0.2">
      <c r="A43">
        <v>40</v>
      </c>
      <c r="B43" s="5">
        <f t="shared" si="0"/>
        <v>11031.729662810643</v>
      </c>
      <c r="C43" s="5">
        <f t="shared" si="1"/>
        <v>8806.6898467299015</v>
      </c>
      <c r="D43" s="5">
        <f t="shared" si="2"/>
        <v>2225.0398160807417</v>
      </c>
      <c r="E43" s="5">
        <f t="shared" si="3"/>
        <v>-1759112.9295298995</v>
      </c>
    </row>
    <row r="44" spans="1:5" x14ac:dyDescent="0.2">
      <c r="A44">
        <v>41</v>
      </c>
      <c r="B44" s="5">
        <f t="shared" si="0"/>
        <v>11031.729662810643</v>
      </c>
      <c r="C44" s="5">
        <f t="shared" si="1"/>
        <v>8795.5646476494967</v>
      </c>
      <c r="D44" s="5">
        <f t="shared" si="2"/>
        <v>2236.1650151611466</v>
      </c>
      <c r="E44" s="5">
        <f t="shared" si="3"/>
        <v>-1756876.7645147385</v>
      </c>
    </row>
    <row r="45" spans="1:5" x14ac:dyDescent="0.2">
      <c r="A45">
        <v>42</v>
      </c>
      <c r="B45" s="5">
        <f t="shared" si="0"/>
        <v>11031.729662810643</v>
      </c>
      <c r="C45" s="5">
        <f t="shared" si="1"/>
        <v>8784.3838225736927</v>
      </c>
      <c r="D45" s="5">
        <f t="shared" si="2"/>
        <v>2247.3458402369506</v>
      </c>
      <c r="E45" s="5">
        <f t="shared" si="3"/>
        <v>-1754629.4186745016</v>
      </c>
    </row>
    <row r="46" spans="1:5" x14ac:dyDescent="0.2">
      <c r="A46">
        <v>43</v>
      </c>
      <c r="B46" s="5">
        <f t="shared" si="0"/>
        <v>11031.729662810643</v>
      </c>
      <c r="C46" s="5">
        <f t="shared" si="1"/>
        <v>8773.1470933725086</v>
      </c>
      <c r="D46" s="5">
        <f t="shared" si="2"/>
        <v>2258.5825694381347</v>
      </c>
      <c r="E46" s="5">
        <f t="shared" si="3"/>
        <v>-1752370.8361050636</v>
      </c>
    </row>
    <row r="47" spans="1:5" x14ac:dyDescent="0.2">
      <c r="A47">
        <v>44</v>
      </c>
      <c r="B47" s="5">
        <f t="shared" si="0"/>
        <v>11031.729662810643</v>
      </c>
      <c r="C47" s="5">
        <f t="shared" si="1"/>
        <v>8761.8541805253171</v>
      </c>
      <c r="D47" s="5">
        <f t="shared" si="2"/>
        <v>2269.8754822853261</v>
      </c>
      <c r="E47" s="5">
        <f t="shared" si="3"/>
        <v>-1750100.9606227782</v>
      </c>
    </row>
    <row r="48" spans="1:5" x14ac:dyDescent="0.2">
      <c r="A48">
        <v>45</v>
      </c>
      <c r="B48" s="5">
        <f t="shared" si="0"/>
        <v>11031.729662810643</v>
      </c>
      <c r="C48" s="5">
        <f t="shared" si="1"/>
        <v>8750.5048031138904</v>
      </c>
      <c r="D48" s="5">
        <f t="shared" si="2"/>
        <v>2281.2248596967529</v>
      </c>
      <c r="E48" s="5">
        <f t="shared" si="3"/>
        <v>-1747819.7357630813</v>
      </c>
    </row>
    <row r="49" spans="1:5" x14ac:dyDescent="0.2">
      <c r="A49">
        <v>46</v>
      </c>
      <c r="B49" s="5">
        <f t="shared" si="0"/>
        <v>11031.729662810643</v>
      </c>
      <c r="C49" s="5">
        <f t="shared" si="1"/>
        <v>8739.0986788154059</v>
      </c>
      <c r="D49" s="5">
        <f t="shared" si="2"/>
        <v>2292.6309839952373</v>
      </c>
      <c r="E49" s="5">
        <f t="shared" si="3"/>
        <v>-1745527.1047790861</v>
      </c>
    </row>
    <row r="50" spans="1:5" x14ac:dyDescent="0.2">
      <c r="A50">
        <v>47</v>
      </c>
      <c r="B50" s="5">
        <f t="shared" si="0"/>
        <v>11031.729662810643</v>
      </c>
      <c r="C50" s="5">
        <f t="shared" si="1"/>
        <v>8727.6355238954293</v>
      </c>
      <c r="D50" s="5">
        <f t="shared" si="2"/>
        <v>2304.094138915214</v>
      </c>
      <c r="E50" s="5">
        <f t="shared" si="3"/>
        <v>-1743223.0106401709</v>
      </c>
    </row>
    <row r="51" spans="1:5" x14ac:dyDescent="0.2">
      <c r="A51">
        <v>48</v>
      </c>
      <c r="B51" s="5">
        <f t="shared" si="0"/>
        <v>11031.729662810643</v>
      </c>
      <c r="C51" s="5">
        <f t="shared" si="1"/>
        <v>8716.1150532008542</v>
      </c>
      <c r="D51" s="5">
        <f t="shared" si="2"/>
        <v>2315.6146096097891</v>
      </c>
      <c r="E51" s="5">
        <f t="shared" si="3"/>
        <v>-1740907.3960305611</v>
      </c>
    </row>
    <row r="52" spans="1:5" x14ac:dyDescent="0.2">
      <c r="A52">
        <v>49</v>
      </c>
      <c r="B52" s="5">
        <f t="shared" si="0"/>
        <v>11031.729662810643</v>
      </c>
      <c r="C52" s="5">
        <f t="shared" si="1"/>
        <v>8704.536980152805</v>
      </c>
      <c r="D52" s="5">
        <f t="shared" si="2"/>
        <v>2327.1926826578383</v>
      </c>
      <c r="E52" s="5">
        <f t="shared" si="3"/>
        <v>-1738580.2033479032</v>
      </c>
    </row>
    <row r="53" spans="1:5" x14ac:dyDescent="0.2">
      <c r="A53">
        <v>50</v>
      </c>
      <c r="B53" s="5">
        <f t="shared" si="0"/>
        <v>11031.729662810643</v>
      </c>
      <c r="C53" s="5">
        <f t="shared" si="1"/>
        <v>8692.9010167395154</v>
      </c>
      <c r="D53" s="5">
        <f t="shared" si="2"/>
        <v>2338.8286460711279</v>
      </c>
      <c r="E53" s="5">
        <f t="shared" si="3"/>
        <v>-1736241.3747018322</v>
      </c>
    </row>
    <row r="54" spans="1:5" x14ac:dyDescent="0.2">
      <c r="A54">
        <v>51</v>
      </c>
      <c r="B54" s="5">
        <f t="shared" si="0"/>
        <v>11031.729662810643</v>
      </c>
      <c r="C54" s="5">
        <f t="shared" si="1"/>
        <v>8681.2068735091616</v>
      </c>
      <c r="D54" s="5">
        <f t="shared" si="2"/>
        <v>2350.5227893014817</v>
      </c>
      <c r="E54" s="5">
        <f t="shared" si="3"/>
        <v>-1733890.8519125306</v>
      </c>
    </row>
    <row r="55" spans="1:5" x14ac:dyDescent="0.2">
      <c r="A55">
        <v>52</v>
      </c>
      <c r="B55" s="5">
        <f t="shared" si="0"/>
        <v>11031.729662810643</v>
      </c>
      <c r="C55" s="5">
        <f t="shared" si="1"/>
        <v>8669.4542595626535</v>
      </c>
      <c r="D55" s="5">
        <f t="shared" si="2"/>
        <v>2362.2754032479897</v>
      </c>
      <c r="E55" s="5">
        <f t="shared" si="3"/>
        <v>-1731528.5765092827</v>
      </c>
    </row>
    <row r="56" spans="1:5" x14ac:dyDescent="0.2">
      <c r="A56">
        <v>53</v>
      </c>
      <c r="B56" s="5">
        <f t="shared" si="0"/>
        <v>11031.729662810643</v>
      </c>
      <c r="C56" s="5">
        <f t="shared" si="1"/>
        <v>8657.6428825464136</v>
      </c>
      <c r="D56" s="5">
        <f t="shared" si="2"/>
        <v>2374.0867802642297</v>
      </c>
      <c r="E56" s="5">
        <f t="shared" si="3"/>
        <v>-1729154.4897290184</v>
      </c>
    </row>
    <row r="57" spans="1:5" x14ac:dyDescent="0.2">
      <c r="A57">
        <v>54</v>
      </c>
      <c r="B57" s="5">
        <f t="shared" si="0"/>
        <v>11031.729662810643</v>
      </c>
      <c r="C57" s="5">
        <f t="shared" si="1"/>
        <v>8645.7724486450916</v>
      </c>
      <c r="D57" s="5">
        <f t="shared" si="2"/>
        <v>2385.9572141655517</v>
      </c>
      <c r="E57" s="5">
        <f t="shared" si="3"/>
        <v>-1726768.5325148529</v>
      </c>
    </row>
    <row r="58" spans="1:5" x14ac:dyDescent="0.2">
      <c r="A58">
        <v>55</v>
      </c>
      <c r="B58" s="5">
        <f t="shared" si="0"/>
        <v>11031.729662810643</v>
      </c>
      <c r="C58" s="5">
        <f t="shared" si="1"/>
        <v>8633.8426625742632</v>
      </c>
      <c r="D58" s="5">
        <f t="shared" si="2"/>
        <v>2397.8870002363801</v>
      </c>
      <c r="E58" s="5">
        <f t="shared" si="3"/>
        <v>-1724370.6455146165</v>
      </c>
    </row>
    <row r="59" spans="1:5" x14ac:dyDescent="0.2">
      <c r="A59">
        <v>56</v>
      </c>
      <c r="B59" s="5">
        <f t="shared" si="0"/>
        <v>11031.729662810643</v>
      </c>
      <c r="C59" s="5">
        <f t="shared" si="1"/>
        <v>8621.8532275730813</v>
      </c>
      <c r="D59" s="5">
        <f t="shared" si="2"/>
        <v>2409.876435237562</v>
      </c>
      <c r="E59" s="5">
        <f t="shared" si="3"/>
        <v>-1721960.769079379</v>
      </c>
    </row>
    <row r="60" spans="1:5" x14ac:dyDescent="0.2">
      <c r="A60">
        <v>57</v>
      </c>
      <c r="B60" s="5">
        <f t="shared" si="0"/>
        <v>11031.729662810643</v>
      </c>
      <c r="C60" s="5">
        <f t="shared" si="1"/>
        <v>8609.8038453968948</v>
      </c>
      <c r="D60" s="5">
        <f t="shared" si="2"/>
        <v>2421.9258174137485</v>
      </c>
      <c r="E60" s="5">
        <f t="shared" si="3"/>
        <v>-1719538.8432619653</v>
      </c>
    </row>
    <row r="61" spans="1:5" x14ac:dyDescent="0.2">
      <c r="A61">
        <v>58</v>
      </c>
      <c r="B61" s="5">
        <f t="shared" si="0"/>
        <v>11031.729662810643</v>
      </c>
      <c r="C61" s="5">
        <f t="shared" si="1"/>
        <v>8597.6942163098265</v>
      </c>
      <c r="D61" s="5">
        <f t="shared" si="2"/>
        <v>2434.0354465008168</v>
      </c>
      <c r="E61" s="5">
        <f t="shared" si="3"/>
        <v>-1717104.8078154644</v>
      </c>
    </row>
    <row r="62" spans="1:5" x14ac:dyDescent="0.2">
      <c r="A62">
        <v>59</v>
      </c>
      <c r="B62" s="5">
        <f t="shared" si="0"/>
        <v>11031.729662810643</v>
      </c>
      <c r="C62" s="5">
        <f t="shared" si="1"/>
        <v>8585.5240390773215</v>
      </c>
      <c r="D62" s="5">
        <f t="shared" si="2"/>
        <v>2446.2056237333218</v>
      </c>
      <c r="E62" s="5">
        <f t="shared" si="3"/>
        <v>-1714658.6021917311</v>
      </c>
    </row>
    <row r="63" spans="1:5" x14ac:dyDescent="0.2">
      <c r="A63">
        <v>60</v>
      </c>
      <c r="B63" s="5">
        <f t="shared" si="0"/>
        <v>11031.729662810643</v>
      </c>
      <c r="C63" s="5">
        <f t="shared" si="1"/>
        <v>8573.2930109586541</v>
      </c>
      <c r="D63" s="5">
        <f t="shared" si="2"/>
        <v>2458.4366518519892</v>
      </c>
      <c r="E63" s="5">
        <f t="shared" si="3"/>
        <v>-1712200.1655398791</v>
      </c>
    </row>
    <row r="64" spans="1:5" x14ac:dyDescent="0.2">
      <c r="A64">
        <v>61</v>
      </c>
      <c r="B64" s="5">
        <f t="shared" si="0"/>
        <v>11031.729662810643</v>
      </c>
      <c r="C64" s="5">
        <f t="shared" si="1"/>
        <v>8561.0008276993958</v>
      </c>
      <c r="D64" s="5">
        <f t="shared" si="2"/>
        <v>2470.7288351112475</v>
      </c>
      <c r="E64" s="5">
        <f t="shared" si="3"/>
        <v>-1709729.4367047679</v>
      </c>
    </row>
    <row r="65" spans="1:5" x14ac:dyDescent="0.2">
      <c r="A65">
        <v>62</v>
      </c>
      <c r="B65" s="5">
        <f t="shared" si="0"/>
        <v>11031.729662810643</v>
      </c>
      <c r="C65" s="5">
        <f t="shared" si="1"/>
        <v>8548.647183523839</v>
      </c>
      <c r="D65" s="5">
        <f t="shared" si="2"/>
        <v>2483.0824792868043</v>
      </c>
      <c r="E65" s="5">
        <f t="shared" si="3"/>
        <v>-1707246.3542254812</v>
      </c>
    </row>
    <row r="66" spans="1:5" x14ac:dyDescent="0.2">
      <c r="A66">
        <v>63</v>
      </c>
      <c r="B66" s="5">
        <f t="shared" si="0"/>
        <v>11031.729662810643</v>
      </c>
      <c r="C66" s="5">
        <f t="shared" si="1"/>
        <v>8536.2317711274063</v>
      </c>
      <c r="D66" s="5">
        <f t="shared" si="2"/>
        <v>2495.497891683237</v>
      </c>
      <c r="E66" s="5">
        <f t="shared" si="3"/>
        <v>-1704750.856333798</v>
      </c>
    </row>
    <row r="67" spans="1:5" x14ac:dyDescent="0.2">
      <c r="A67">
        <v>64</v>
      </c>
      <c r="B67" s="5">
        <f t="shared" si="0"/>
        <v>11031.729662810643</v>
      </c>
      <c r="C67" s="5">
        <f t="shared" si="1"/>
        <v>8523.7542816689893</v>
      </c>
      <c r="D67" s="5">
        <f t="shared" si="2"/>
        <v>2507.975381141654</v>
      </c>
      <c r="E67" s="5">
        <f t="shared" si="3"/>
        <v>-1702242.8809526563</v>
      </c>
    </row>
    <row r="68" spans="1:5" x14ac:dyDescent="0.2">
      <c r="A68">
        <v>65</v>
      </c>
      <c r="B68" s="5">
        <f t="shared" si="0"/>
        <v>11031.729662810643</v>
      </c>
      <c r="C68" s="5">
        <f t="shared" si="1"/>
        <v>8511.214404763281</v>
      </c>
      <c r="D68" s="5">
        <f t="shared" si="2"/>
        <v>2520.5152580473623</v>
      </c>
      <c r="E68" s="5">
        <f t="shared" si="3"/>
        <v>-1699722.365694609</v>
      </c>
    </row>
    <row r="69" spans="1:5" x14ac:dyDescent="0.2">
      <c r="A69">
        <v>66</v>
      </c>
      <c r="B69" s="5">
        <f t="shared" ref="B69:B132" si="4">PMT($H$3/12,$H$4*12,$H$6,0,0)</f>
        <v>11031.729662810643</v>
      </c>
      <c r="C69" s="5">
        <f t="shared" si="1"/>
        <v>8498.6118284730455</v>
      </c>
      <c r="D69" s="5">
        <f t="shared" si="2"/>
        <v>2533.1178343375977</v>
      </c>
      <c r="E69" s="5">
        <f t="shared" si="3"/>
        <v>-1697189.2478602715</v>
      </c>
    </row>
    <row r="70" spans="1:5" x14ac:dyDescent="0.2">
      <c r="A70">
        <v>67</v>
      </c>
      <c r="B70" s="5">
        <f t="shared" si="4"/>
        <v>11031.729662810643</v>
      </c>
      <c r="C70" s="5">
        <f t="shared" si="1"/>
        <v>8485.9462393013582</v>
      </c>
      <c r="D70" s="5">
        <f t="shared" si="2"/>
        <v>2545.7834235092851</v>
      </c>
      <c r="E70" s="5">
        <f t="shared" si="3"/>
        <v>-1694643.4644367623</v>
      </c>
    </row>
    <row r="71" spans="1:5" x14ac:dyDescent="0.2">
      <c r="A71">
        <v>68</v>
      </c>
      <c r="B71" s="5">
        <f t="shared" si="4"/>
        <v>11031.729662810643</v>
      </c>
      <c r="C71" s="5">
        <f t="shared" si="1"/>
        <v>8473.2173221838111</v>
      </c>
      <c r="D71" s="5">
        <f t="shared" si="2"/>
        <v>2558.5123406268322</v>
      </c>
      <c r="E71" s="5">
        <f t="shared" si="3"/>
        <v>-1692084.9520961354</v>
      </c>
    </row>
    <row r="72" spans="1:5" x14ac:dyDescent="0.2">
      <c r="A72">
        <v>69</v>
      </c>
      <c r="B72" s="5">
        <f t="shared" si="4"/>
        <v>11031.729662810643</v>
      </c>
      <c r="C72" s="5">
        <f t="shared" si="1"/>
        <v>8460.4247604806769</v>
      </c>
      <c r="D72" s="5">
        <f t="shared" si="2"/>
        <v>2571.3049023299664</v>
      </c>
      <c r="E72" s="5">
        <f t="shared" si="3"/>
        <v>-1689513.6471938053</v>
      </c>
    </row>
    <row r="73" spans="1:5" x14ac:dyDescent="0.2">
      <c r="A73">
        <v>70</v>
      </c>
      <c r="B73" s="5">
        <f t="shared" si="4"/>
        <v>11031.729662810643</v>
      </c>
      <c r="C73" s="5">
        <f t="shared" si="1"/>
        <v>8447.5682359690272</v>
      </c>
      <c r="D73" s="5">
        <f t="shared" si="2"/>
        <v>2584.161426841616</v>
      </c>
      <c r="E73" s="5">
        <f t="shared" si="3"/>
        <v>-1686929.4857669638</v>
      </c>
    </row>
    <row r="74" spans="1:5" x14ac:dyDescent="0.2">
      <c r="A74">
        <v>71</v>
      </c>
      <c r="B74" s="5">
        <f t="shared" si="4"/>
        <v>11031.729662810643</v>
      </c>
      <c r="C74" s="5">
        <f t="shared" ref="C74:C137" si="5">-E73*$H$3/12</f>
        <v>8434.6474288348181</v>
      </c>
      <c r="D74" s="5">
        <f t="shared" ref="D74:D137" si="6">B74-C74</f>
        <v>2597.0822339758251</v>
      </c>
      <c r="E74" s="5">
        <f t="shared" ref="E74:E137" si="7">E73+D74</f>
        <v>-1684332.4035329879</v>
      </c>
    </row>
    <row r="75" spans="1:5" x14ac:dyDescent="0.2">
      <c r="A75">
        <v>72</v>
      </c>
      <c r="B75" s="5">
        <f t="shared" si="4"/>
        <v>11031.729662810643</v>
      </c>
      <c r="C75" s="5">
        <f t="shared" si="5"/>
        <v>8421.6620176649394</v>
      </c>
      <c r="D75" s="5">
        <f t="shared" si="6"/>
        <v>2610.0676451457039</v>
      </c>
      <c r="E75" s="5">
        <f t="shared" si="7"/>
        <v>-1681722.3358878421</v>
      </c>
    </row>
    <row r="76" spans="1:5" x14ac:dyDescent="0.2">
      <c r="A76">
        <v>73</v>
      </c>
      <c r="B76" s="5">
        <f t="shared" si="4"/>
        <v>11031.729662810643</v>
      </c>
      <c r="C76" s="5">
        <f t="shared" si="5"/>
        <v>8408.6116794392092</v>
      </c>
      <c r="D76" s="5">
        <f t="shared" si="6"/>
        <v>2623.1179833714341</v>
      </c>
      <c r="E76" s="5">
        <f t="shared" si="7"/>
        <v>-1679099.2179044706</v>
      </c>
    </row>
    <row r="77" spans="1:5" x14ac:dyDescent="0.2">
      <c r="A77">
        <v>74</v>
      </c>
      <c r="B77" s="5">
        <f t="shared" si="4"/>
        <v>11031.729662810643</v>
      </c>
      <c r="C77" s="5">
        <f t="shared" si="5"/>
        <v>8395.4960895223539</v>
      </c>
      <c r="D77" s="5">
        <f t="shared" si="6"/>
        <v>2636.2335732882893</v>
      </c>
      <c r="E77" s="5">
        <f t="shared" si="7"/>
        <v>-1676462.9843311824</v>
      </c>
    </row>
    <row r="78" spans="1:5" x14ac:dyDescent="0.2">
      <c r="A78">
        <v>75</v>
      </c>
      <c r="B78" s="5">
        <f t="shared" si="4"/>
        <v>11031.729662810643</v>
      </c>
      <c r="C78" s="5">
        <f t="shared" si="5"/>
        <v>8382.3149216559123</v>
      </c>
      <c r="D78" s="5">
        <f t="shared" si="6"/>
        <v>2649.414741154731</v>
      </c>
      <c r="E78" s="5">
        <f t="shared" si="7"/>
        <v>-1673813.5695900277</v>
      </c>
    </row>
    <row r="79" spans="1:5" x14ac:dyDescent="0.2">
      <c r="A79">
        <v>76</v>
      </c>
      <c r="B79" s="5">
        <f t="shared" si="4"/>
        <v>11031.729662810643</v>
      </c>
      <c r="C79" s="5">
        <f t="shared" si="5"/>
        <v>8369.0678479501385</v>
      </c>
      <c r="D79" s="5">
        <f t="shared" si="6"/>
        <v>2662.6618148605048</v>
      </c>
      <c r="E79" s="5">
        <f t="shared" si="7"/>
        <v>-1671150.9077751671</v>
      </c>
    </row>
    <row r="80" spans="1:5" x14ac:dyDescent="0.2">
      <c r="A80">
        <v>77</v>
      </c>
      <c r="B80" s="5">
        <f t="shared" si="4"/>
        <v>11031.729662810643</v>
      </c>
      <c r="C80" s="5">
        <f t="shared" si="5"/>
        <v>8355.7545388758354</v>
      </c>
      <c r="D80" s="5">
        <f t="shared" si="6"/>
        <v>2675.9751239348079</v>
      </c>
      <c r="E80" s="5">
        <f t="shared" si="7"/>
        <v>-1668474.9326512322</v>
      </c>
    </row>
    <row r="81" spans="1:5" x14ac:dyDescent="0.2">
      <c r="A81">
        <v>78</v>
      </c>
      <c r="B81" s="5">
        <f t="shared" si="4"/>
        <v>11031.729662810643</v>
      </c>
      <c r="C81" s="5">
        <f t="shared" si="5"/>
        <v>8342.3746632561615</v>
      </c>
      <c r="D81" s="5">
        <f t="shared" si="6"/>
        <v>2689.3549995544818</v>
      </c>
      <c r="E81" s="5">
        <f t="shared" si="7"/>
        <v>-1665785.5776516777</v>
      </c>
    </row>
    <row r="82" spans="1:5" x14ac:dyDescent="0.2">
      <c r="A82">
        <v>79</v>
      </c>
      <c r="B82" s="5">
        <f t="shared" si="4"/>
        <v>11031.729662810643</v>
      </c>
      <c r="C82" s="5">
        <f t="shared" si="5"/>
        <v>8328.9278882583876</v>
      </c>
      <c r="D82" s="5">
        <f t="shared" si="6"/>
        <v>2702.8017745522557</v>
      </c>
      <c r="E82" s="5">
        <f t="shared" si="7"/>
        <v>-1663082.7758771253</v>
      </c>
    </row>
    <row r="83" spans="1:5" x14ac:dyDescent="0.2">
      <c r="A83">
        <v>80</v>
      </c>
      <c r="B83" s="5">
        <f t="shared" si="4"/>
        <v>11031.729662810643</v>
      </c>
      <c r="C83" s="5">
        <f t="shared" si="5"/>
        <v>8315.4138793856273</v>
      </c>
      <c r="D83" s="5">
        <f t="shared" si="6"/>
        <v>2716.315783425016</v>
      </c>
      <c r="E83" s="5">
        <f t="shared" si="7"/>
        <v>-1660366.4600937003</v>
      </c>
    </row>
    <row r="84" spans="1:5" x14ac:dyDescent="0.2">
      <c r="A84">
        <v>81</v>
      </c>
      <c r="B84" s="5">
        <f t="shared" si="4"/>
        <v>11031.729662810643</v>
      </c>
      <c r="C84" s="5">
        <f t="shared" si="5"/>
        <v>8301.8323004685008</v>
      </c>
      <c r="D84" s="5">
        <f t="shared" si="6"/>
        <v>2729.8973623421425</v>
      </c>
      <c r="E84" s="5">
        <f t="shared" si="7"/>
        <v>-1657636.5627313582</v>
      </c>
    </row>
    <row r="85" spans="1:5" x14ac:dyDescent="0.2">
      <c r="A85">
        <v>82</v>
      </c>
      <c r="B85" s="5">
        <f t="shared" si="4"/>
        <v>11031.729662810643</v>
      </c>
      <c r="C85" s="5">
        <f t="shared" si="5"/>
        <v>8288.182813656791</v>
      </c>
      <c r="D85" s="5">
        <f t="shared" si="6"/>
        <v>2743.5468491538522</v>
      </c>
      <c r="E85" s="5">
        <f t="shared" si="7"/>
        <v>-1654893.0158822043</v>
      </c>
    </row>
    <row r="86" spans="1:5" x14ac:dyDescent="0.2">
      <c r="A86">
        <v>83</v>
      </c>
      <c r="B86" s="5">
        <f t="shared" si="4"/>
        <v>11031.729662810643</v>
      </c>
      <c r="C86" s="5">
        <f t="shared" si="5"/>
        <v>8274.4650794110221</v>
      </c>
      <c r="D86" s="5">
        <f t="shared" si="6"/>
        <v>2757.2645833996212</v>
      </c>
      <c r="E86" s="5">
        <f t="shared" si="7"/>
        <v>-1652135.7512988048</v>
      </c>
    </row>
    <row r="87" spans="1:5" x14ac:dyDescent="0.2">
      <c r="A87">
        <v>84</v>
      </c>
      <c r="B87" s="5">
        <f t="shared" si="4"/>
        <v>11031.729662810643</v>
      </c>
      <c r="C87" s="5">
        <f t="shared" si="5"/>
        <v>8260.6787564940241</v>
      </c>
      <c r="D87" s="5">
        <f t="shared" si="6"/>
        <v>2771.0509063166191</v>
      </c>
      <c r="E87" s="5">
        <f t="shared" si="7"/>
        <v>-1649364.7003924882</v>
      </c>
    </row>
    <row r="88" spans="1:5" x14ac:dyDescent="0.2">
      <c r="A88">
        <v>85</v>
      </c>
      <c r="B88" s="5">
        <f t="shared" si="4"/>
        <v>11031.729662810643</v>
      </c>
      <c r="C88" s="5">
        <f t="shared" si="5"/>
        <v>8246.8235019624408</v>
      </c>
      <c r="D88" s="5">
        <f t="shared" si="6"/>
        <v>2784.9061608482025</v>
      </c>
      <c r="E88" s="5">
        <f t="shared" si="7"/>
        <v>-1646579.7942316399</v>
      </c>
    </row>
    <row r="89" spans="1:5" x14ac:dyDescent="0.2">
      <c r="A89">
        <v>86</v>
      </c>
      <c r="B89" s="5">
        <f t="shared" si="4"/>
        <v>11031.729662810643</v>
      </c>
      <c r="C89" s="5">
        <f t="shared" si="5"/>
        <v>8232.8989711581999</v>
      </c>
      <c r="D89" s="5">
        <f t="shared" si="6"/>
        <v>2798.8306916524434</v>
      </c>
      <c r="E89" s="5">
        <f t="shared" si="7"/>
        <v>-1643780.9635399876</v>
      </c>
    </row>
    <row r="90" spans="1:5" x14ac:dyDescent="0.2">
      <c r="A90">
        <v>87</v>
      </c>
      <c r="B90" s="5">
        <f t="shared" si="4"/>
        <v>11031.729662810643</v>
      </c>
      <c r="C90" s="5">
        <f t="shared" si="5"/>
        <v>8218.9048176999368</v>
      </c>
      <c r="D90" s="5">
        <f t="shared" si="6"/>
        <v>2812.8248451107065</v>
      </c>
      <c r="E90" s="5">
        <f t="shared" si="7"/>
        <v>-1640968.1386948768</v>
      </c>
    </row>
    <row r="91" spans="1:5" x14ac:dyDescent="0.2">
      <c r="A91">
        <v>88</v>
      </c>
      <c r="B91" s="5">
        <f t="shared" si="4"/>
        <v>11031.729662810643</v>
      </c>
      <c r="C91" s="5">
        <f t="shared" si="5"/>
        <v>8204.8406934743834</v>
      </c>
      <c r="D91" s="5">
        <f t="shared" si="6"/>
        <v>2826.8889693362598</v>
      </c>
      <c r="E91" s="5">
        <f t="shared" si="7"/>
        <v>-1638141.2497255406</v>
      </c>
    </row>
    <row r="92" spans="1:5" x14ac:dyDescent="0.2">
      <c r="A92">
        <v>89</v>
      </c>
      <c r="B92" s="5">
        <f t="shared" si="4"/>
        <v>11031.729662810643</v>
      </c>
      <c r="C92" s="5">
        <f t="shared" si="5"/>
        <v>8190.7062486277027</v>
      </c>
      <c r="D92" s="5">
        <f t="shared" si="6"/>
        <v>2841.0234141829405</v>
      </c>
      <c r="E92" s="5">
        <f t="shared" si="7"/>
        <v>-1635300.2263113577</v>
      </c>
    </row>
    <row r="93" spans="1:5" x14ac:dyDescent="0.2">
      <c r="A93">
        <v>90</v>
      </c>
      <c r="B93" s="5">
        <f t="shared" si="4"/>
        <v>11031.729662810643</v>
      </c>
      <c r="C93" s="5">
        <f t="shared" si="5"/>
        <v>8176.501131556789</v>
      </c>
      <c r="D93" s="5">
        <f t="shared" si="6"/>
        <v>2855.2285312538543</v>
      </c>
      <c r="E93" s="5">
        <f t="shared" si="7"/>
        <v>-1632444.9977801039</v>
      </c>
    </row>
    <row r="94" spans="1:5" x14ac:dyDescent="0.2">
      <c r="A94">
        <v>91</v>
      </c>
      <c r="B94" s="5">
        <f t="shared" si="4"/>
        <v>11031.729662810643</v>
      </c>
      <c r="C94" s="5">
        <f t="shared" si="5"/>
        <v>8162.2249889005188</v>
      </c>
      <c r="D94" s="5">
        <f t="shared" si="6"/>
        <v>2869.5046739101244</v>
      </c>
      <c r="E94" s="5">
        <f t="shared" si="7"/>
        <v>-1629575.4931061938</v>
      </c>
    </row>
    <row r="95" spans="1:5" x14ac:dyDescent="0.2">
      <c r="A95">
        <v>92</v>
      </c>
      <c r="B95" s="5">
        <f t="shared" si="4"/>
        <v>11031.729662810643</v>
      </c>
      <c r="C95" s="5">
        <f t="shared" si="5"/>
        <v>8147.8774655309689</v>
      </c>
      <c r="D95" s="5">
        <f t="shared" si="6"/>
        <v>2883.8521972796743</v>
      </c>
      <c r="E95" s="5">
        <f t="shared" si="7"/>
        <v>-1626691.6409089142</v>
      </c>
    </row>
    <row r="96" spans="1:5" x14ac:dyDescent="0.2">
      <c r="A96">
        <v>93</v>
      </c>
      <c r="B96" s="5">
        <f t="shared" si="4"/>
        <v>11031.729662810643</v>
      </c>
      <c r="C96" s="5">
        <f t="shared" si="5"/>
        <v>8133.4582045445704</v>
      </c>
      <c r="D96" s="5">
        <f t="shared" si="6"/>
        <v>2898.2714582660728</v>
      </c>
      <c r="E96" s="5">
        <f t="shared" si="7"/>
        <v>-1623793.3694506481</v>
      </c>
    </row>
    <row r="97" spans="1:5" x14ac:dyDescent="0.2">
      <c r="A97">
        <v>94</v>
      </c>
      <c r="B97" s="5">
        <f t="shared" si="4"/>
        <v>11031.729662810643</v>
      </c>
      <c r="C97" s="5">
        <f t="shared" si="5"/>
        <v>8118.9668472532403</v>
      </c>
      <c r="D97" s="5">
        <f t="shared" si="6"/>
        <v>2912.762815557403</v>
      </c>
      <c r="E97" s="5">
        <f t="shared" si="7"/>
        <v>-1620880.6066350907</v>
      </c>
    </row>
    <row r="98" spans="1:5" x14ac:dyDescent="0.2">
      <c r="A98">
        <v>95</v>
      </c>
      <c r="B98" s="5">
        <f t="shared" si="4"/>
        <v>11031.729662810643</v>
      </c>
      <c r="C98" s="5">
        <f t="shared" si="5"/>
        <v>8104.4030331754539</v>
      </c>
      <c r="D98" s="5">
        <f t="shared" si="6"/>
        <v>2927.3266296351894</v>
      </c>
      <c r="E98" s="5">
        <f t="shared" si="7"/>
        <v>-1617953.2800054555</v>
      </c>
    </row>
    <row r="99" spans="1:5" x14ac:dyDescent="0.2">
      <c r="A99">
        <v>96</v>
      </c>
      <c r="B99" s="5">
        <f t="shared" si="4"/>
        <v>11031.729662810643</v>
      </c>
      <c r="C99" s="5">
        <f t="shared" si="5"/>
        <v>8089.7664000272771</v>
      </c>
      <c r="D99" s="5">
        <f t="shared" si="6"/>
        <v>2941.9632627833662</v>
      </c>
      <c r="E99" s="5">
        <f t="shared" si="7"/>
        <v>-1615011.3167426721</v>
      </c>
    </row>
    <row r="100" spans="1:5" x14ac:dyDescent="0.2">
      <c r="A100">
        <v>97</v>
      </c>
      <c r="B100" s="5">
        <f t="shared" si="4"/>
        <v>11031.729662810643</v>
      </c>
      <c r="C100" s="5">
        <f t="shared" si="5"/>
        <v>8075.0565837133609</v>
      </c>
      <c r="D100" s="5">
        <f t="shared" si="6"/>
        <v>2956.6730790972824</v>
      </c>
      <c r="E100" s="5">
        <f t="shared" si="7"/>
        <v>-1612054.6436635749</v>
      </c>
    </row>
    <row r="101" spans="1:5" x14ac:dyDescent="0.2">
      <c r="A101">
        <v>98</v>
      </c>
      <c r="B101" s="5">
        <f t="shared" si="4"/>
        <v>11031.729662810643</v>
      </c>
      <c r="C101" s="5">
        <f t="shared" si="5"/>
        <v>8060.2732183178741</v>
      </c>
      <c r="D101" s="5">
        <f t="shared" si="6"/>
        <v>2971.4564444927692</v>
      </c>
      <c r="E101" s="5">
        <f t="shared" si="7"/>
        <v>-1609083.1872190821</v>
      </c>
    </row>
    <row r="102" spans="1:5" x14ac:dyDescent="0.2">
      <c r="A102">
        <v>99</v>
      </c>
      <c r="B102" s="5">
        <f t="shared" si="4"/>
        <v>11031.729662810643</v>
      </c>
      <c r="C102" s="5">
        <f t="shared" si="5"/>
        <v>8045.4159360954109</v>
      </c>
      <c r="D102" s="5">
        <f t="shared" si="6"/>
        <v>2986.3137267152324</v>
      </c>
      <c r="E102" s="5">
        <f t="shared" si="7"/>
        <v>-1606096.8734923669</v>
      </c>
    </row>
    <row r="103" spans="1:5" x14ac:dyDescent="0.2">
      <c r="A103">
        <v>100</v>
      </c>
      <c r="B103" s="5">
        <f t="shared" si="4"/>
        <v>11031.729662810643</v>
      </c>
      <c r="C103" s="5">
        <f t="shared" si="5"/>
        <v>8030.4843674618342</v>
      </c>
      <c r="D103" s="5">
        <f t="shared" si="6"/>
        <v>3001.2452953488091</v>
      </c>
      <c r="E103" s="5">
        <f t="shared" si="7"/>
        <v>-1603095.6281970181</v>
      </c>
    </row>
    <row r="104" spans="1:5" x14ac:dyDescent="0.2">
      <c r="A104">
        <v>101</v>
      </c>
      <c r="B104" s="5">
        <f t="shared" si="4"/>
        <v>11031.729662810643</v>
      </c>
      <c r="C104" s="5">
        <f t="shared" si="5"/>
        <v>8015.4781409850902</v>
      </c>
      <c r="D104" s="5">
        <f t="shared" si="6"/>
        <v>3016.251521825553</v>
      </c>
      <c r="E104" s="5">
        <f t="shared" si="7"/>
        <v>-1600079.3766751925</v>
      </c>
    </row>
    <row r="105" spans="1:5" x14ac:dyDescent="0.2">
      <c r="A105">
        <v>102</v>
      </c>
      <c r="B105" s="5">
        <f t="shared" si="4"/>
        <v>11031.729662810643</v>
      </c>
      <c r="C105" s="5">
        <f t="shared" si="5"/>
        <v>8000.3968833759618</v>
      </c>
      <c r="D105" s="5">
        <f t="shared" si="6"/>
        <v>3031.3327794346815</v>
      </c>
      <c r="E105" s="5">
        <f t="shared" si="7"/>
        <v>-1597048.0438957578</v>
      </c>
    </row>
    <row r="106" spans="1:5" x14ac:dyDescent="0.2">
      <c r="A106">
        <v>103</v>
      </c>
      <c r="B106" s="5">
        <f t="shared" si="4"/>
        <v>11031.729662810643</v>
      </c>
      <c r="C106" s="5">
        <f t="shared" si="5"/>
        <v>7985.2402194787892</v>
      </c>
      <c r="D106" s="5">
        <f t="shared" si="6"/>
        <v>3046.4894433318541</v>
      </c>
      <c r="E106" s="5">
        <f t="shared" si="7"/>
        <v>-1594001.5544524258</v>
      </c>
    </row>
    <row r="107" spans="1:5" x14ac:dyDescent="0.2">
      <c r="A107">
        <v>104</v>
      </c>
      <c r="B107" s="5">
        <f t="shared" si="4"/>
        <v>11031.729662810643</v>
      </c>
      <c r="C107" s="5">
        <f t="shared" si="5"/>
        <v>7970.0077722621281</v>
      </c>
      <c r="D107" s="5">
        <f t="shared" si="6"/>
        <v>3061.7218905485151</v>
      </c>
      <c r="E107" s="5">
        <f t="shared" si="7"/>
        <v>-1590939.8325618773</v>
      </c>
    </row>
    <row r="108" spans="1:5" x14ac:dyDescent="0.2">
      <c r="A108">
        <v>105</v>
      </c>
      <c r="B108" s="5">
        <f t="shared" si="4"/>
        <v>11031.729662810643</v>
      </c>
      <c r="C108" s="5">
        <f t="shared" si="5"/>
        <v>7954.6991628093865</v>
      </c>
      <c r="D108" s="5">
        <f t="shared" si="6"/>
        <v>3077.0305000012568</v>
      </c>
      <c r="E108" s="5">
        <f t="shared" si="7"/>
        <v>-1587862.802061876</v>
      </c>
    </row>
    <row r="109" spans="1:5" x14ac:dyDescent="0.2">
      <c r="A109">
        <v>106</v>
      </c>
      <c r="B109" s="5">
        <f t="shared" si="4"/>
        <v>11031.729662810643</v>
      </c>
      <c r="C109" s="5">
        <f t="shared" si="5"/>
        <v>7939.3140103093801</v>
      </c>
      <c r="D109" s="5">
        <f t="shared" si="6"/>
        <v>3092.4156525012631</v>
      </c>
      <c r="E109" s="5">
        <f t="shared" si="7"/>
        <v>-1584770.3864093749</v>
      </c>
    </row>
    <row r="110" spans="1:5" x14ac:dyDescent="0.2">
      <c r="A110">
        <v>107</v>
      </c>
      <c r="B110" s="5">
        <f t="shared" si="4"/>
        <v>11031.729662810643</v>
      </c>
      <c r="C110" s="5">
        <f t="shared" si="5"/>
        <v>7923.851932046874</v>
      </c>
      <c r="D110" s="5">
        <f t="shared" si="6"/>
        <v>3107.8777307637693</v>
      </c>
      <c r="E110" s="5">
        <f t="shared" si="7"/>
        <v>-1581662.5086786111</v>
      </c>
    </row>
    <row r="111" spans="1:5" x14ac:dyDescent="0.2">
      <c r="A111">
        <v>108</v>
      </c>
      <c r="B111" s="5">
        <f t="shared" si="4"/>
        <v>11031.729662810643</v>
      </c>
      <c r="C111" s="5">
        <f t="shared" si="5"/>
        <v>7908.3125433930554</v>
      </c>
      <c r="D111" s="5">
        <f t="shared" si="6"/>
        <v>3123.4171194175879</v>
      </c>
      <c r="E111" s="5">
        <f t="shared" si="7"/>
        <v>-1578539.0915591936</v>
      </c>
    </row>
    <row r="112" spans="1:5" x14ac:dyDescent="0.2">
      <c r="A112">
        <v>109</v>
      </c>
      <c r="B112" s="5">
        <f t="shared" si="4"/>
        <v>11031.729662810643</v>
      </c>
      <c r="C112" s="5">
        <f t="shared" si="5"/>
        <v>7892.6954577959668</v>
      </c>
      <c r="D112" s="5">
        <f t="shared" si="6"/>
        <v>3139.0342050146764</v>
      </c>
      <c r="E112" s="5">
        <f t="shared" si="7"/>
        <v>-1575400.057354179</v>
      </c>
    </row>
    <row r="113" spans="1:5" x14ac:dyDescent="0.2">
      <c r="A113">
        <v>110</v>
      </c>
      <c r="B113" s="5">
        <f t="shared" si="4"/>
        <v>11031.729662810643</v>
      </c>
      <c r="C113" s="5">
        <f t="shared" si="5"/>
        <v>7877.0002867708945</v>
      </c>
      <c r="D113" s="5">
        <f t="shared" si="6"/>
        <v>3154.7293760397488</v>
      </c>
      <c r="E113" s="5">
        <f t="shared" si="7"/>
        <v>-1572245.3279781393</v>
      </c>
    </row>
    <row r="114" spans="1:5" x14ac:dyDescent="0.2">
      <c r="A114">
        <v>111</v>
      </c>
      <c r="B114" s="5">
        <f t="shared" si="4"/>
        <v>11031.729662810643</v>
      </c>
      <c r="C114" s="5">
        <f t="shared" si="5"/>
        <v>7861.2266398906968</v>
      </c>
      <c r="D114" s="5">
        <f t="shared" si="6"/>
        <v>3170.5030229199465</v>
      </c>
      <c r="E114" s="5">
        <f t="shared" si="7"/>
        <v>-1569074.8249552194</v>
      </c>
    </row>
    <row r="115" spans="1:5" x14ac:dyDescent="0.2">
      <c r="A115">
        <v>112</v>
      </c>
      <c r="B115" s="5">
        <f t="shared" si="4"/>
        <v>11031.729662810643</v>
      </c>
      <c r="C115" s="5">
        <f t="shared" si="5"/>
        <v>7845.3741247760963</v>
      </c>
      <c r="D115" s="5">
        <f t="shared" si="6"/>
        <v>3186.355538034547</v>
      </c>
      <c r="E115" s="5">
        <f t="shared" si="7"/>
        <v>-1565888.4694171848</v>
      </c>
    </row>
    <row r="116" spans="1:5" x14ac:dyDescent="0.2">
      <c r="A116">
        <v>113</v>
      </c>
      <c r="B116" s="5">
        <f t="shared" si="4"/>
        <v>11031.729662810643</v>
      </c>
      <c r="C116" s="5">
        <f t="shared" si="5"/>
        <v>7829.4423470859247</v>
      </c>
      <c r="D116" s="5">
        <f t="shared" si="6"/>
        <v>3202.2873157247186</v>
      </c>
      <c r="E116" s="5">
        <f t="shared" si="7"/>
        <v>-1562686.1821014602</v>
      </c>
    </row>
    <row r="117" spans="1:5" x14ac:dyDescent="0.2">
      <c r="A117">
        <v>114</v>
      </c>
      <c r="B117" s="5">
        <f t="shared" si="4"/>
        <v>11031.729662810643</v>
      </c>
      <c r="C117" s="5">
        <f t="shared" si="5"/>
        <v>7813.4309105073007</v>
      </c>
      <c r="D117" s="5">
        <f t="shared" si="6"/>
        <v>3218.2987523033426</v>
      </c>
      <c r="E117" s="5">
        <f t="shared" si="7"/>
        <v>-1559467.8833491569</v>
      </c>
    </row>
    <row r="118" spans="1:5" x14ac:dyDescent="0.2">
      <c r="A118">
        <v>115</v>
      </c>
      <c r="B118" s="5">
        <f t="shared" si="4"/>
        <v>11031.729662810643</v>
      </c>
      <c r="C118" s="5">
        <f t="shared" si="5"/>
        <v>7797.3394167457845</v>
      </c>
      <c r="D118" s="5">
        <f t="shared" si="6"/>
        <v>3234.3902460648587</v>
      </c>
      <c r="E118" s="5">
        <f t="shared" si="7"/>
        <v>-1556233.4931030921</v>
      </c>
    </row>
    <row r="119" spans="1:5" x14ac:dyDescent="0.2">
      <c r="A119">
        <v>116</v>
      </c>
      <c r="B119" s="5">
        <f t="shared" si="4"/>
        <v>11031.729662810643</v>
      </c>
      <c r="C119" s="5">
        <f t="shared" si="5"/>
        <v>7781.1674655154602</v>
      </c>
      <c r="D119" s="5">
        <f t="shared" si="6"/>
        <v>3250.5621972951831</v>
      </c>
      <c r="E119" s="5">
        <f t="shared" si="7"/>
        <v>-1552982.9309057968</v>
      </c>
    </row>
    <row r="120" spans="1:5" x14ac:dyDescent="0.2">
      <c r="A120">
        <v>117</v>
      </c>
      <c r="B120" s="5">
        <f t="shared" si="4"/>
        <v>11031.729662810643</v>
      </c>
      <c r="C120" s="5">
        <f t="shared" si="5"/>
        <v>7764.9146545289841</v>
      </c>
      <c r="D120" s="5">
        <f t="shared" si="6"/>
        <v>3266.8150082816592</v>
      </c>
      <c r="E120" s="5">
        <f t="shared" si="7"/>
        <v>-1549716.1158975151</v>
      </c>
    </row>
    <row r="121" spans="1:5" x14ac:dyDescent="0.2">
      <c r="A121">
        <v>118</v>
      </c>
      <c r="B121" s="5">
        <f t="shared" si="4"/>
        <v>11031.729662810643</v>
      </c>
      <c r="C121" s="5">
        <f t="shared" si="5"/>
        <v>7748.5805794875751</v>
      </c>
      <c r="D121" s="5">
        <f t="shared" si="6"/>
        <v>3283.1490833230682</v>
      </c>
      <c r="E121" s="5">
        <f t="shared" si="7"/>
        <v>-1546432.966814192</v>
      </c>
    </row>
    <row r="122" spans="1:5" x14ac:dyDescent="0.2">
      <c r="A122">
        <v>119</v>
      </c>
      <c r="B122" s="5">
        <f t="shared" si="4"/>
        <v>11031.729662810643</v>
      </c>
      <c r="C122" s="5">
        <f t="shared" si="5"/>
        <v>7732.1648340709589</v>
      </c>
      <c r="D122" s="5">
        <f t="shared" si="6"/>
        <v>3299.5648287396843</v>
      </c>
      <c r="E122" s="5">
        <f t="shared" si="7"/>
        <v>-1543133.4019854523</v>
      </c>
    </row>
    <row r="123" spans="1:5" x14ac:dyDescent="0.2">
      <c r="A123">
        <v>120</v>
      </c>
      <c r="B123" s="5">
        <f t="shared" si="4"/>
        <v>11031.729662810643</v>
      </c>
      <c r="C123" s="5">
        <f t="shared" si="5"/>
        <v>7715.6670099272606</v>
      </c>
      <c r="D123" s="5">
        <f t="shared" si="6"/>
        <v>3316.0626528833827</v>
      </c>
      <c r="E123" s="5">
        <f t="shared" si="7"/>
        <v>-1539817.3393325689</v>
      </c>
    </row>
    <row r="124" spans="1:5" x14ac:dyDescent="0.2">
      <c r="A124">
        <v>121</v>
      </c>
      <c r="B124" s="5">
        <f t="shared" si="4"/>
        <v>11031.729662810643</v>
      </c>
      <c r="C124" s="5">
        <f t="shared" si="5"/>
        <v>7699.0866966628446</v>
      </c>
      <c r="D124" s="5">
        <f t="shared" si="6"/>
        <v>3332.6429661477987</v>
      </c>
      <c r="E124" s="5">
        <f t="shared" si="7"/>
        <v>-1536484.6963664212</v>
      </c>
    </row>
    <row r="125" spans="1:5" x14ac:dyDescent="0.2">
      <c r="A125">
        <v>122</v>
      </c>
      <c r="B125" s="5">
        <f t="shared" si="4"/>
        <v>11031.729662810643</v>
      </c>
      <c r="C125" s="5">
        <f t="shared" si="5"/>
        <v>7682.4234818321056</v>
      </c>
      <c r="D125" s="5">
        <f t="shared" si="6"/>
        <v>3349.3061809785377</v>
      </c>
      <c r="E125" s="5">
        <f t="shared" si="7"/>
        <v>-1533135.3901854428</v>
      </c>
    </row>
    <row r="126" spans="1:5" x14ac:dyDescent="0.2">
      <c r="A126">
        <v>123</v>
      </c>
      <c r="B126" s="5">
        <f t="shared" si="4"/>
        <v>11031.729662810643</v>
      </c>
      <c r="C126" s="5">
        <f t="shared" si="5"/>
        <v>7665.6769509272135</v>
      </c>
      <c r="D126" s="5">
        <f t="shared" si="6"/>
        <v>3366.0527118834298</v>
      </c>
      <c r="E126" s="5">
        <f t="shared" si="7"/>
        <v>-1529769.3374735594</v>
      </c>
    </row>
    <row r="127" spans="1:5" x14ac:dyDescent="0.2">
      <c r="A127">
        <v>124</v>
      </c>
      <c r="B127" s="5">
        <f t="shared" si="4"/>
        <v>11031.729662810643</v>
      </c>
      <c r="C127" s="5">
        <f t="shared" si="5"/>
        <v>7648.8466873677971</v>
      </c>
      <c r="D127" s="5">
        <f t="shared" si="6"/>
        <v>3382.8829754428461</v>
      </c>
      <c r="E127" s="5">
        <f t="shared" si="7"/>
        <v>-1526386.4544981166</v>
      </c>
    </row>
    <row r="128" spans="1:5" x14ac:dyDescent="0.2">
      <c r="A128">
        <v>125</v>
      </c>
      <c r="B128" s="5">
        <f t="shared" si="4"/>
        <v>11031.729662810643</v>
      </c>
      <c r="C128" s="5">
        <f t="shared" si="5"/>
        <v>7631.9322724905833</v>
      </c>
      <c r="D128" s="5">
        <f t="shared" si="6"/>
        <v>3399.79739032006</v>
      </c>
      <c r="E128" s="5">
        <f t="shared" si="7"/>
        <v>-1522986.6571077965</v>
      </c>
    </row>
    <row r="129" spans="1:5" x14ac:dyDescent="0.2">
      <c r="A129">
        <v>126</v>
      </c>
      <c r="B129" s="5">
        <f t="shared" si="4"/>
        <v>11031.729662810643</v>
      </c>
      <c r="C129" s="5">
        <f t="shared" si="5"/>
        <v>7614.933285538983</v>
      </c>
      <c r="D129" s="5">
        <f t="shared" si="6"/>
        <v>3416.7963772716603</v>
      </c>
      <c r="E129" s="5">
        <f t="shared" si="7"/>
        <v>-1519569.8607305249</v>
      </c>
    </row>
    <row r="130" spans="1:5" x14ac:dyDescent="0.2">
      <c r="A130">
        <v>127</v>
      </c>
      <c r="B130" s="5">
        <f t="shared" si="4"/>
        <v>11031.729662810643</v>
      </c>
      <c r="C130" s="5">
        <f t="shared" si="5"/>
        <v>7597.8493036526243</v>
      </c>
      <c r="D130" s="5">
        <f t="shared" si="6"/>
        <v>3433.880359158019</v>
      </c>
      <c r="E130" s="5">
        <f t="shared" si="7"/>
        <v>-1516135.980371367</v>
      </c>
    </row>
    <row r="131" spans="1:5" x14ac:dyDescent="0.2">
      <c r="A131">
        <v>128</v>
      </c>
      <c r="B131" s="5">
        <f t="shared" si="4"/>
        <v>11031.729662810643</v>
      </c>
      <c r="C131" s="5">
        <f t="shared" si="5"/>
        <v>7580.6799018568345</v>
      </c>
      <c r="D131" s="5">
        <f t="shared" si="6"/>
        <v>3451.0497609538088</v>
      </c>
      <c r="E131" s="5">
        <f t="shared" si="7"/>
        <v>-1512684.9306104132</v>
      </c>
    </row>
    <row r="132" spans="1:5" x14ac:dyDescent="0.2">
      <c r="A132">
        <v>129</v>
      </c>
      <c r="B132" s="5">
        <f t="shared" si="4"/>
        <v>11031.729662810643</v>
      </c>
      <c r="C132" s="5">
        <f t="shared" si="5"/>
        <v>7563.4246530520659</v>
      </c>
      <c r="D132" s="5">
        <f t="shared" si="6"/>
        <v>3468.3050097585774</v>
      </c>
      <c r="E132" s="5">
        <f t="shared" si="7"/>
        <v>-1509216.6256006546</v>
      </c>
    </row>
    <row r="133" spans="1:5" x14ac:dyDescent="0.2">
      <c r="A133">
        <v>130</v>
      </c>
      <c r="B133" s="5">
        <f t="shared" ref="B133:B196" si="8">PMT($H$3/12,$H$4*12,$H$6,0,0)</f>
        <v>11031.729662810643</v>
      </c>
      <c r="C133" s="5">
        <f t="shared" si="5"/>
        <v>7546.0831280032726</v>
      </c>
      <c r="D133" s="5">
        <f t="shared" si="6"/>
        <v>3485.6465348073707</v>
      </c>
      <c r="E133" s="5">
        <f t="shared" si="7"/>
        <v>-1505730.9790658474</v>
      </c>
    </row>
    <row r="134" spans="1:5" x14ac:dyDescent="0.2">
      <c r="A134">
        <v>131</v>
      </c>
      <c r="B134" s="5">
        <f t="shared" si="8"/>
        <v>11031.729662810643</v>
      </c>
      <c r="C134" s="5">
        <f t="shared" si="5"/>
        <v>7528.6548953292368</v>
      </c>
      <c r="D134" s="5">
        <f t="shared" si="6"/>
        <v>3503.0747674814065</v>
      </c>
      <c r="E134" s="5">
        <f t="shared" si="7"/>
        <v>-1502227.904298366</v>
      </c>
    </row>
    <row r="135" spans="1:5" x14ac:dyDescent="0.2">
      <c r="A135">
        <v>132</v>
      </c>
      <c r="B135" s="5">
        <f t="shared" si="8"/>
        <v>11031.729662810643</v>
      </c>
      <c r="C135" s="5">
        <f t="shared" si="5"/>
        <v>7511.1395214918302</v>
      </c>
      <c r="D135" s="5">
        <f t="shared" si="6"/>
        <v>3520.590141318813</v>
      </c>
      <c r="E135" s="5">
        <f t="shared" si="7"/>
        <v>-1498707.3141570473</v>
      </c>
    </row>
    <row r="136" spans="1:5" x14ac:dyDescent="0.2">
      <c r="A136">
        <v>133</v>
      </c>
      <c r="B136" s="5">
        <f t="shared" si="8"/>
        <v>11031.729662810643</v>
      </c>
      <c r="C136" s="5">
        <f t="shared" si="5"/>
        <v>7493.5365707852361</v>
      </c>
      <c r="D136" s="5">
        <f t="shared" si="6"/>
        <v>3538.1930920254072</v>
      </c>
      <c r="E136" s="5">
        <f t="shared" si="7"/>
        <v>-1495169.121065022</v>
      </c>
    </row>
    <row r="137" spans="1:5" x14ac:dyDescent="0.2">
      <c r="A137">
        <v>134</v>
      </c>
      <c r="B137" s="5">
        <f t="shared" si="8"/>
        <v>11031.729662810643</v>
      </c>
      <c r="C137" s="5">
        <f t="shared" si="5"/>
        <v>7475.8456053251093</v>
      </c>
      <c r="D137" s="5">
        <f t="shared" si="6"/>
        <v>3555.884057485534</v>
      </c>
      <c r="E137" s="5">
        <f t="shared" si="7"/>
        <v>-1491613.2370075365</v>
      </c>
    </row>
    <row r="138" spans="1:5" x14ac:dyDescent="0.2">
      <c r="A138">
        <v>135</v>
      </c>
      <c r="B138" s="5">
        <f t="shared" si="8"/>
        <v>11031.729662810643</v>
      </c>
      <c r="C138" s="5">
        <f t="shared" ref="C138:C201" si="9">-E137*$H$3/12</f>
        <v>7458.0661850376819</v>
      </c>
      <c r="D138" s="5">
        <f t="shared" ref="D138:D201" si="10">B138-C138</f>
        <v>3573.6634777729614</v>
      </c>
      <c r="E138" s="5">
        <f t="shared" ref="E138:E201" si="11">E137+D138</f>
        <v>-1488039.5735297636</v>
      </c>
    </row>
    <row r="139" spans="1:5" x14ac:dyDescent="0.2">
      <c r="A139">
        <v>136</v>
      </c>
      <c r="B139" s="5">
        <f t="shared" si="8"/>
        <v>11031.729662810643</v>
      </c>
      <c r="C139" s="5">
        <f t="shared" si="9"/>
        <v>7440.1978676488179</v>
      </c>
      <c r="D139" s="5">
        <f t="shared" si="10"/>
        <v>3591.5317951618254</v>
      </c>
      <c r="E139" s="5">
        <f t="shared" si="11"/>
        <v>-1484448.0417346018</v>
      </c>
    </row>
    <row r="140" spans="1:5" x14ac:dyDescent="0.2">
      <c r="A140">
        <v>137</v>
      </c>
      <c r="B140" s="5">
        <f t="shared" si="8"/>
        <v>11031.729662810643</v>
      </c>
      <c r="C140" s="5">
        <f t="shared" si="9"/>
        <v>7422.2402086730081</v>
      </c>
      <c r="D140" s="5">
        <f t="shared" si="10"/>
        <v>3609.4894541376352</v>
      </c>
      <c r="E140" s="5">
        <f t="shared" si="11"/>
        <v>-1480838.5522804642</v>
      </c>
    </row>
    <row r="141" spans="1:5" x14ac:dyDescent="0.2">
      <c r="A141">
        <v>138</v>
      </c>
      <c r="B141" s="5">
        <f t="shared" si="8"/>
        <v>11031.729662810643</v>
      </c>
      <c r="C141" s="5">
        <f t="shared" si="9"/>
        <v>7404.1927614023216</v>
      </c>
      <c r="D141" s="5">
        <f t="shared" si="10"/>
        <v>3627.5369014083217</v>
      </c>
      <c r="E141" s="5">
        <f t="shared" si="11"/>
        <v>-1477211.0153790559</v>
      </c>
    </row>
    <row r="142" spans="1:5" x14ac:dyDescent="0.2">
      <c r="A142">
        <v>139</v>
      </c>
      <c r="B142" s="5">
        <f t="shared" si="8"/>
        <v>11031.729662810643</v>
      </c>
      <c r="C142" s="5">
        <f t="shared" si="9"/>
        <v>7386.0550768952789</v>
      </c>
      <c r="D142" s="5">
        <f t="shared" si="10"/>
        <v>3645.6745859153643</v>
      </c>
      <c r="E142" s="5">
        <f t="shared" si="11"/>
        <v>-1473565.3407931405</v>
      </c>
    </row>
    <row r="143" spans="1:5" x14ac:dyDescent="0.2">
      <c r="A143">
        <v>140</v>
      </c>
      <c r="B143" s="5">
        <f t="shared" si="8"/>
        <v>11031.729662810643</v>
      </c>
      <c r="C143" s="5">
        <f t="shared" si="9"/>
        <v>7367.8267039657012</v>
      </c>
      <c r="D143" s="5">
        <f t="shared" si="10"/>
        <v>3663.9029588449421</v>
      </c>
      <c r="E143" s="5">
        <f t="shared" si="11"/>
        <v>-1469901.4378342954</v>
      </c>
    </row>
    <row r="144" spans="1:5" x14ac:dyDescent="0.2">
      <c r="A144">
        <v>141</v>
      </c>
      <c r="B144" s="5">
        <f t="shared" si="8"/>
        <v>11031.729662810643</v>
      </c>
      <c r="C144" s="5">
        <f t="shared" si="9"/>
        <v>7349.507189171477</v>
      </c>
      <c r="D144" s="5">
        <f t="shared" si="10"/>
        <v>3682.2224736391663</v>
      </c>
      <c r="E144" s="5">
        <f t="shared" si="11"/>
        <v>-1466219.2153606564</v>
      </c>
    </row>
    <row r="145" spans="1:5" x14ac:dyDescent="0.2">
      <c r="A145">
        <v>142</v>
      </c>
      <c r="B145" s="5">
        <f t="shared" si="8"/>
        <v>11031.729662810643</v>
      </c>
      <c r="C145" s="5">
        <f t="shared" si="9"/>
        <v>7331.0960768032819</v>
      </c>
      <c r="D145" s="5">
        <f t="shared" si="10"/>
        <v>3700.6335860073614</v>
      </c>
      <c r="E145" s="5">
        <f t="shared" si="11"/>
        <v>-1462518.581774649</v>
      </c>
    </row>
    <row r="146" spans="1:5" x14ac:dyDescent="0.2">
      <c r="A146">
        <v>143</v>
      </c>
      <c r="B146" s="5">
        <f t="shared" si="8"/>
        <v>11031.729662810643</v>
      </c>
      <c r="C146" s="5">
        <f t="shared" si="9"/>
        <v>7312.5929088732446</v>
      </c>
      <c r="D146" s="5">
        <f t="shared" si="10"/>
        <v>3719.1367539373987</v>
      </c>
      <c r="E146" s="5">
        <f t="shared" si="11"/>
        <v>-1458799.4450207115</v>
      </c>
    </row>
    <row r="147" spans="1:5" x14ac:dyDescent="0.2">
      <c r="A147">
        <v>144</v>
      </c>
      <c r="B147" s="5">
        <f t="shared" si="8"/>
        <v>11031.729662810643</v>
      </c>
      <c r="C147" s="5">
        <f t="shared" si="9"/>
        <v>7293.9972251035579</v>
      </c>
      <c r="D147" s="5">
        <f t="shared" si="10"/>
        <v>3737.7324377070854</v>
      </c>
      <c r="E147" s="5">
        <f t="shared" si="11"/>
        <v>-1455061.7125830045</v>
      </c>
    </row>
    <row r="148" spans="1:5" x14ac:dyDescent="0.2">
      <c r="A148">
        <v>145</v>
      </c>
      <c r="B148" s="5">
        <f t="shared" si="8"/>
        <v>11031.729662810643</v>
      </c>
      <c r="C148" s="5">
        <f t="shared" si="9"/>
        <v>7275.3085629150228</v>
      </c>
      <c r="D148" s="5">
        <f t="shared" si="10"/>
        <v>3756.4210998956205</v>
      </c>
      <c r="E148" s="5">
        <f t="shared" si="11"/>
        <v>-1451305.2914831089</v>
      </c>
    </row>
    <row r="149" spans="1:5" x14ac:dyDescent="0.2">
      <c r="A149">
        <v>146</v>
      </c>
      <c r="B149" s="5">
        <f t="shared" si="8"/>
        <v>11031.729662810643</v>
      </c>
      <c r="C149" s="5">
        <f t="shared" si="9"/>
        <v>7256.5264574155444</v>
      </c>
      <c r="D149" s="5">
        <f t="shared" si="10"/>
        <v>3775.2032053950988</v>
      </c>
      <c r="E149" s="5">
        <f t="shared" si="11"/>
        <v>-1447530.0882777139</v>
      </c>
    </row>
    <row r="150" spans="1:5" x14ac:dyDescent="0.2">
      <c r="A150">
        <v>147</v>
      </c>
      <c r="B150" s="5">
        <f t="shared" si="8"/>
        <v>11031.729662810643</v>
      </c>
      <c r="C150" s="5">
        <f t="shared" si="9"/>
        <v>7237.6504413885696</v>
      </c>
      <c r="D150" s="5">
        <f t="shared" si="10"/>
        <v>3794.0792214220737</v>
      </c>
      <c r="E150" s="5">
        <f t="shared" si="11"/>
        <v>-1443736.0090562918</v>
      </c>
    </row>
    <row r="151" spans="1:5" x14ac:dyDescent="0.2">
      <c r="A151">
        <v>148</v>
      </c>
      <c r="B151" s="5">
        <f t="shared" si="8"/>
        <v>11031.729662810643</v>
      </c>
      <c r="C151" s="5">
        <f t="shared" si="9"/>
        <v>7218.6800452814578</v>
      </c>
      <c r="D151" s="5">
        <f t="shared" si="10"/>
        <v>3813.0496175291855</v>
      </c>
      <c r="E151" s="5">
        <f t="shared" si="11"/>
        <v>-1439922.9594387626</v>
      </c>
    </row>
    <row r="152" spans="1:5" x14ac:dyDescent="0.2">
      <c r="A152">
        <v>149</v>
      </c>
      <c r="B152" s="5">
        <f t="shared" si="8"/>
        <v>11031.729662810643</v>
      </c>
      <c r="C152" s="5">
        <f t="shared" si="9"/>
        <v>7199.6147971938126</v>
      </c>
      <c r="D152" s="5">
        <f t="shared" si="10"/>
        <v>3832.1148656168307</v>
      </c>
      <c r="E152" s="5">
        <f t="shared" si="11"/>
        <v>-1436090.8445731457</v>
      </c>
    </row>
    <row r="153" spans="1:5" x14ac:dyDescent="0.2">
      <c r="A153">
        <v>150</v>
      </c>
      <c r="B153" s="5">
        <f t="shared" si="8"/>
        <v>11031.729662810643</v>
      </c>
      <c r="C153" s="5">
        <f t="shared" si="9"/>
        <v>7180.4542228657292</v>
      </c>
      <c r="D153" s="5">
        <f t="shared" si="10"/>
        <v>3851.2754399449141</v>
      </c>
      <c r="E153" s="5">
        <f t="shared" si="11"/>
        <v>-1432239.5691332009</v>
      </c>
    </row>
    <row r="154" spans="1:5" x14ac:dyDescent="0.2">
      <c r="A154">
        <v>151</v>
      </c>
      <c r="B154" s="5">
        <f t="shared" si="8"/>
        <v>11031.729662810643</v>
      </c>
      <c r="C154" s="5">
        <f t="shared" si="9"/>
        <v>7161.1978456660045</v>
      </c>
      <c r="D154" s="5">
        <f t="shared" si="10"/>
        <v>3870.5318171446388</v>
      </c>
      <c r="E154" s="5">
        <f t="shared" si="11"/>
        <v>-1428369.0373160562</v>
      </c>
    </row>
    <row r="155" spans="1:5" x14ac:dyDescent="0.2">
      <c r="A155">
        <v>152</v>
      </c>
      <c r="B155" s="5">
        <f t="shared" si="8"/>
        <v>11031.729662810643</v>
      </c>
      <c r="C155" s="5">
        <f t="shared" si="9"/>
        <v>7141.8451865802808</v>
      </c>
      <c r="D155" s="5">
        <f t="shared" si="10"/>
        <v>3889.8844762303625</v>
      </c>
      <c r="E155" s="5">
        <f t="shared" si="11"/>
        <v>-1424479.152839826</v>
      </c>
    </row>
    <row r="156" spans="1:5" x14ac:dyDescent="0.2">
      <c r="A156">
        <v>153</v>
      </c>
      <c r="B156" s="5">
        <f t="shared" si="8"/>
        <v>11031.729662810643</v>
      </c>
      <c r="C156" s="5">
        <f t="shared" si="9"/>
        <v>7122.3957641991292</v>
      </c>
      <c r="D156" s="5">
        <f t="shared" si="10"/>
        <v>3909.3338986115141</v>
      </c>
      <c r="E156" s="5">
        <f t="shared" si="11"/>
        <v>-1420569.8189412144</v>
      </c>
    </row>
    <row r="157" spans="1:5" x14ac:dyDescent="0.2">
      <c r="A157">
        <v>154</v>
      </c>
      <c r="B157" s="5">
        <f t="shared" si="8"/>
        <v>11031.729662810643</v>
      </c>
      <c r="C157" s="5">
        <f t="shared" si="9"/>
        <v>7102.8490947060718</v>
      </c>
      <c r="D157" s="5">
        <f t="shared" si="10"/>
        <v>3928.8805681045715</v>
      </c>
      <c r="E157" s="5">
        <f t="shared" si="11"/>
        <v>-1416640.9383731098</v>
      </c>
    </row>
    <row r="158" spans="1:5" x14ac:dyDescent="0.2">
      <c r="A158">
        <v>155</v>
      </c>
      <c r="B158" s="5">
        <f t="shared" si="8"/>
        <v>11031.729662810643</v>
      </c>
      <c r="C158" s="5">
        <f t="shared" si="9"/>
        <v>7083.2046918655478</v>
      </c>
      <c r="D158" s="5">
        <f t="shared" si="10"/>
        <v>3948.5249709450954</v>
      </c>
      <c r="E158" s="5">
        <f t="shared" si="11"/>
        <v>-1412692.4134021646</v>
      </c>
    </row>
    <row r="159" spans="1:5" x14ac:dyDescent="0.2">
      <c r="A159">
        <v>156</v>
      </c>
      <c r="B159" s="5">
        <f t="shared" si="8"/>
        <v>11031.729662810643</v>
      </c>
      <c r="C159" s="5">
        <f t="shared" si="9"/>
        <v>7063.4620670108225</v>
      </c>
      <c r="D159" s="5">
        <f t="shared" si="10"/>
        <v>3968.2675957998208</v>
      </c>
      <c r="E159" s="5">
        <f t="shared" si="11"/>
        <v>-1408724.1458063647</v>
      </c>
    </row>
    <row r="160" spans="1:5" x14ac:dyDescent="0.2">
      <c r="A160">
        <v>157</v>
      </c>
      <c r="B160" s="5">
        <f t="shared" si="8"/>
        <v>11031.729662810643</v>
      </c>
      <c r="C160" s="5">
        <f t="shared" si="9"/>
        <v>7043.6207290318234</v>
      </c>
      <c r="D160" s="5">
        <f t="shared" si="10"/>
        <v>3988.1089337788198</v>
      </c>
      <c r="E160" s="5">
        <f t="shared" si="11"/>
        <v>-1404736.036872586</v>
      </c>
    </row>
    <row r="161" spans="1:5" x14ac:dyDescent="0.2">
      <c r="A161">
        <v>158</v>
      </c>
      <c r="B161" s="5">
        <f t="shared" si="8"/>
        <v>11031.729662810643</v>
      </c>
      <c r="C161" s="5">
        <f t="shared" si="9"/>
        <v>7023.68018436293</v>
      </c>
      <c r="D161" s="5">
        <f t="shared" si="10"/>
        <v>4008.0494784477132</v>
      </c>
      <c r="E161" s="5">
        <f t="shared" si="11"/>
        <v>-1400727.9873941382</v>
      </c>
    </row>
    <row r="162" spans="1:5" x14ac:dyDescent="0.2">
      <c r="A162">
        <v>159</v>
      </c>
      <c r="B162" s="5">
        <f t="shared" si="8"/>
        <v>11031.729662810643</v>
      </c>
      <c r="C162" s="5">
        <f t="shared" si="9"/>
        <v>7003.6399369706915</v>
      </c>
      <c r="D162" s="5">
        <f t="shared" si="10"/>
        <v>4028.0897258399518</v>
      </c>
      <c r="E162" s="5">
        <f t="shared" si="11"/>
        <v>-1396699.8976682983</v>
      </c>
    </row>
    <row r="163" spans="1:5" x14ac:dyDescent="0.2">
      <c r="A163">
        <v>160</v>
      </c>
      <c r="B163" s="5">
        <f t="shared" si="8"/>
        <v>11031.729662810643</v>
      </c>
      <c r="C163" s="5">
        <f t="shared" si="9"/>
        <v>6983.4994883414911</v>
      </c>
      <c r="D163" s="5">
        <f t="shared" si="10"/>
        <v>4048.2301744691522</v>
      </c>
      <c r="E163" s="5">
        <f t="shared" si="11"/>
        <v>-1392651.6674938293</v>
      </c>
    </row>
    <row r="164" spans="1:5" x14ac:dyDescent="0.2">
      <c r="A164">
        <v>161</v>
      </c>
      <c r="B164" s="5">
        <f t="shared" si="8"/>
        <v>11031.729662810643</v>
      </c>
      <c r="C164" s="5">
        <f t="shared" si="9"/>
        <v>6963.2583374691458</v>
      </c>
      <c r="D164" s="5">
        <f t="shared" si="10"/>
        <v>4068.4713253414975</v>
      </c>
      <c r="E164" s="5">
        <f t="shared" si="11"/>
        <v>-1388583.1961684877</v>
      </c>
    </row>
    <row r="165" spans="1:5" x14ac:dyDescent="0.2">
      <c r="A165">
        <v>162</v>
      </c>
      <c r="B165" s="5">
        <f t="shared" si="8"/>
        <v>11031.729662810643</v>
      </c>
      <c r="C165" s="5">
        <f t="shared" si="9"/>
        <v>6942.9159808424383</v>
      </c>
      <c r="D165" s="5">
        <f t="shared" si="10"/>
        <v>4088.8136819682049</v>
      </c>
      <c r="E165" s="5">
        <f t="shared" si="11"/>
        <v>-1384494.3824865194</v>
      </c>
    </row>
    <row r="166" spans="1:5" x14ac:dyDescent="0.2">
      <c r="A166">
        <v>163</v>
      </c>
      <c r="B166" s="5">
        <f t="shared" si="8"/>
        <v>11031.729662810643</v>
      </c>
      <c r="C166" s="5">
        <f t="shared" si="9"/>
        <v>6922.4719124325966</v>
      </c>
      <c r="D166" s="5">
        <f t="shared" si="10"/>
        <v>4109.2577503780467</v>
      </c>
      <c r="E166" s="5">
        <f t="shared" si="11"/>
        <v>-1380385.1247361414</v>
      </c>
    </row>
    <row r="167" spans="1:5" x14ac:dyDescent="0.2">
      <c r="A167">
        <v>164</v>
      </c>
      <c r="B167" s="5">
        <f t="shared" si="8"/>
        <v>11031.729662810643</v>
      </c>
      <c r="C167" s="5">
        <f t="shared" si="9"/>
        <v>6901.9256236807059</v>
      </c>
      <c r="D167" s="5">
        <f t="shared" si="10"/>
        <v>4129.8040391299373</v>
      </c>
      <c r="E167" s="5">
        <f t="shared" si="11"/>
        <v>-1376255.3206970114</v>
      </c>
    </row>
    <row r="168" spans="1:5" x14ac:dyDescent="0.2">
      <c r="A168">
        <v>165</v>
      </c>
      <c r="B168" s="5">
        <f t="shared" si="8"/>
        <v>11031.729662810643</v>
      </c>
      <c r="C168" s="5">
        <f t="shared" si="9"/>
        <v>6881.2766034850574</v>
      </c>
      <c r="D168" s="5">
        <f t="shared" si="10"/>
        <v>4150.4530593255859</v>
      </c>
      <c r="E168" s="5">
        <f t="shared" si="11"/>
        <v>-1372104.8676376857</v>
      </c>
    </row>
    <row r="169" spans="1:5" x14ac:dyDescent="0.2">
      <c r="A169">
        <v>166</v>
      </c>
      <c r="B169" s="5">
        <f t="shared" si="8"/>
        <v>11031.729662810643</v>
      </c>
      <c r="C169" s="5">
        <f t="shared" si="9"/>
        <v>6860.5243381884284</v>
      </c>
      <c r="D169" s="5">
        <f t="shared" si="10"/>
        <v>4171.2053246222149</v>
      </c>
      <c r="E169" s="5">
        <f t="shared" si="11"/>
        <v>-1367933.6623130636</v>
      </c>
    </row>
    <row r="170" spans="1:5" x14ac:dyDescent="0.2">
      <c r="A170">
        <v>167</v>
      </c>
      <c r="B170" s="5">
        <f t="shared" si="8"/>
        <v>11031.729662810643</v>
      </c>
      <c r="C170" s="5">
        <f t="shared" si="9"/>
        <v>6839.6683115653177</v>
      </c>
      <c r="D170" s="5">
        <f t="shared" si="10"/>
        <v>4192.0613512453256</v>
      </c>
      <c r="E170" s="5">
        <f t="shared" si="11"/>
        <v>-1363741.6009618184</v>
      </c>
    </row>
    <row r="171" spans="1:5" x14ac:dyDescent="0.2">
      <c r="A171">
        <v>168</v>
      </c>
      <c r="B171" s="5">
        <f t="shared" si="8"/>
        <v>11031.729662810643</v>
      </c>
      <c r="C171" s="5">
        <f t="shared" si="9"/>
        <v>6818.7080048090911</v>
      </c>
      <c r="D171" s="5">
        <f t="shared" si="10"/>
        <v>4213.0216580015522</v>
      </c>
      <c r="E171" s="5">
        <f t="shared" si="11"/>
        <v>-1359528.5793038169</v>
      </c>
    </row>
    <row r="172" spans="1:5" x14ac:dyDescent="0.2">
      <c r="A172">
        <v>169</v>
      </c>
      <c r="B172" s="5">
        <f t="shared" si="8"/>
        <v>11031.729662810643</v>
      </c>
      <c r="C172" s="5">
        <f t="shared" si="9"/>
        <v>6797.6428965190835</v>
      </c>
      <c r="D172" s="5">
        <f t="shared" si="10"/>
        <v>4234.0867662915598</v>
      </c>
      <c r="E172" s="5">
        <f t="shared" si="11"/>
        <v>-1355294.4925375252</v>
      </c>
    </row>
    <row r="173" spans="1:5" x14ac:dyDescent="0.2">
      <c r="A173">
        <v>170</v>
      </c>
      <c r="B173" s="5">
        <f t="shared" si="8"/>
        <v>11031.729662810643</v>
      </c>
      <c r="C173" s="5">
        <f t="shared" si="9"/>
        <v>6776.4724626876259</v>
      </c>
      <c r="D173" s="5">
        <f t="shared" si="10"/>
        <v>4255.2572001230174</v>
      </c>
      <c r="E173" s="5">
        <f t="shared" si="11"/>
        <v>-1351039.2353374022</v>
      </c>
    </row>
    <row r="174" spans="1:5" x14ac:dyDescent="0.2">
      <c r="A174">
        <v>171</v>
      </c>
      <c r="B174" s="5">
        <f t="shared" si="8"/>
        <v>11031.729662810643</v>
      </c>
      <c r="C174" s="5">
        <f t="shared" si="9"/>
        <v>6755.1961766870108</v>
      </c>
      <c r="D174" s="5">
        <f t="shared" si="10"/>
        <v>4276.5334861236324</v>
      </c>
      <c r="E174" s="5">
        <f t="shared" si="11"/>
        <v>-1346762.7018512785</v>
      </c>
    </row>
    <row r="175" spans="1:5" x14ac:dyDescent="0.2">
      <c r="A175">
        <v>172</v>
      </c>
      <c r="B175" s="5">
        <f t="shared" si="8"/>
        <v>11031.729662810643</v>
      </c>
      <c r="C175" s="5">
        <f t="shared" si="9"/>
        <v>6733.8135092563925</v>
      </c>
      <c r="D175" s="5">
        <f t="shared" si="10"/>
        <v>4297.9161535542507</v>
      </c>
      <c r="E175" s="5">
        <f t="shared" si="11"/>
        <v>-1342464.7856977242</v>
      </c>
    </row>
    <row r="176" spans="1:5" x14ac:dyDescent="0.2">
      <c r="A176">
        <v>173</v>
      </c>
      <c r="B176" s="5">
        <f t="shared" si="8"/>
        <v>11031.729662810643</v>
      </c>
      <c r="C176" s="5">
        <f t="shared" si="9"/>
        <v>6712.3239284886213</v>
      </c>
      <c r="D176" s="5">
        <f t="shared" si="10"/>
        <v>4319.405734322022</v>
      </c>
      <c r="E176" s="5">
        <f t="shared" si="11"/>
        <v>-1338145.3799634022</v>
      </c>
    </row>
    <row r="177" spans="1:5" x14ac:dyDescent="0.2">
      <c r="A177">
        <v>174</v>
      </c>
      <c r="B177" s="5">
        <f t="shared" si="8"/>
        <v>11031.729662810643</v>
      </c>
      <c r="C177" s="5">
        <f t="shared" si="9"/>
        <v>6690.7268998170111</v>
      </c>
      <c r="D177" s="5">
        <f t="shared" si="10"/>
        <v>4341.0027629936321</v>
      </c>
      <c r="E177" s="5">
        <f t="shared" si="11"/>
        <v>-1333804.3772004086</v>
      </c>
    </row>
    <row r="178" spans="1:5" x14ac:dyDescent="0.2">
      <c r="A178">
        <v>175</v>
      </c>
      <c r="B178" s="5">
        <f t="shared" si="8"/>
        <v>11031.729662810643</v>
      </c>
      <c r="C178" s="5">
        <f t="shared" si="9"/>
        <v>6669.0218860020432</v>
      </c>
      <c r="D178" s="5">
        <f t="shared" si="10"/>
        <v>4362.7077768086001</v>
      </c>
      <c r="E178" s="5">
        <f t="shared" si="11"/>
        <v>-1329441.6694236</v>
      </c>
    </row>
    <row r="179" spans="1:5" x14ac:dyDescent="0.2">
      <c r="A179">
        <v>176</v>
      </c>
      <c r="B179" s="5">
        <f t="shared" si="8"/>
        <v>11031.729662810643</v>
      </c>
      <c r="C179" s="5">
        <f t="shared" si="9"/>
        <v>6647.2083471180003</v>
      </c>
      <c r="D179" s="5">
        <f t="shared" si="10"/>
        <v>4384.5213156926429</v>
      </c>
      <c r="E179" s="5">
        <f t="shared" si="11"/>
        <v>-1325057.1481079073</v>
      </c>
    </row>
    <row r="180" spans="1:5" x14ac:dyDescent="0.2">
      <c r="A180">
        <v>177</v>
      </c>
      <c r="B180" s="5">
        <f t="shared" si="8"/>
        <v>11031.729662810643</v>
      </c>
      <c r="C180" s="5">
        <f t="shared" si="9"/>
        <v>6625.2857405395362</v>
      </c>
      <c r="D180" s="5">
        <f t="shared" si="10"/>
        <v>4406.4439222711071</v>
      </c>
      <c r="E180" s="5">
        <f t="shared" si="11"/>
        <v>-1320650.7041856362</v>
      </c>
    </row>
    <row r="181" spans="1:5" x14ac:dyDescent="0.2">
      <c r="A181">
        <v>178</v>
      </c>
      <c r="B181" s="5">
        <f t="shared" si="8"/>
        <v>11031.729662810643</v>
      </c>
      <c r="C181" s="5">
        <f t="shared" si="9"/>
        <v>6603.2535209281814</v>
      </c>
      <c r="D181" s="5">
        <f t="shared" si="10"/>
        <v>4428.4761418824619</v>
      </c>
      <c r="E181" s="5">
        <f t="shared" si="11"/>
        <v>-1316222.2280437539</v>
      </c>
    </row>
    <row r="182" spans="1:5" x14ac:dyDescent="0.2">
      <c r="A182">
        <v>179</v>
      </c>
      <c r="B182" s="5">
        <f t="shared" si="8"/>
        <v>11031.729662810643</v>
      </c>
      <c r="C182" s="5">
        <f t="shared" si="9"/>
        <v>6581.1111402187698</v>
      </c>
      <c r="D182" s="5">
        <f t="shared" si="10"/>
        <v>4450.6185225918734</v>
      </c>
      <c r="E182" s="5">
        <f t="shared" si="11"/>
        <v>-1311771.609521162</v>
      </c>
    </row>
    <row r="183" spans="1:5" x14ac:dyDescent="0.2">
      <c r="A183">
        <v>180</v>
      </c>
      <c r="B183" s="5">
        <f t="shared" si="8"/>
        <v>11031.729662810643</v>
      </c>
      <c r="C183" s="5">
        <f t="shared" si="9"/>
        <v>6558.8580476058096</v>
      </c>
      <c r="D183" s="5">
        <f t="shared" si="10"/>
        <v>4472.8716152048337</v>
      </c>
      <c r="E183" s="5">
        <f t="shared" si="11"/>
        <v>-1307298.7379059573</v>
      </c>
    </row>
    <row r="184" spans="1:5" x14ac:dyDescent="0.2">
      <c r="A184">
        <v>181</v>
      </c>
      <c r="B184" s="5">
        <f t="shared" si="8"/>
        <v>11031.729662810643</v>
      </c>
      <c r="C184" s="5">
        <f t="shared" si="9"/>
        <v>6536.493689529786</v>
      </c>
      <c r="D184" s="5">
        <f t="shared" si="10"/>
        <v>4495.2359732808573</v>
      </c>
      <c r="E184" s="5">
        <f t="shared" si="11"/>
        <v>-1302803.5019326764</v>
      </c>
    </row>
    <row r="185" spans="1:5" x14ac:dyDescent="0.2">
      <c r="A185">
        <v>182</v>
      </c>
      <c r="B185" s="5">
        <f t="shared" si="8"/>
        <v>11031.729662810643</v>
      </c>
      <c r="C185" s="5">
        <f t="shared" si="9"/>
        <v>6514.017509663382</v>
      </c>
      <c r="D185" s="5">
        <f t="shared" si="10"/>
        <v>4517.7121531472612</v>
      </c>
      <c r="E185" s="5">
        <f t="shared" si="11"/>
        <v>-1298285.7897795292</v>
      </c>
    </row>
    <row r="186" spans="1:5" x14ac:dyDescent="0.2">
      <c r="A186">
        <v>183</v>
      </c>
      <c r="B186" s="5">
        <f t="shared" si="8"/>
        <v>11031.729662810643</v>
      </c>
      <c r="C186" s="5">
        <f t="shared" si="9"/>
        <v>6491.4289488976456</v>
      </c>
      <c r="D186" s="5">
        <f t="shared" si="10"/>
        <v>4540.3007139129977</v>
      </c>
      <c r="E186" s="5">
        <f t="shared" si="11"/>
        <v>-1293745.4890656162</v>
      </c>
    </row>
    <row r="187" spans="1:5" x14ac:dyDescent="0.2">
      <c r="A187">
        <v>184</v>
      </c>
      <c r="B187" s="5">
        <f t="shared" si="8"/>
        <v>11031.729662810643</v>
      </c>
      <c r="C187" s="5">
        <f t="shared" si="9"/>
        <v>6468.7274453280806</v>
      </c>
      <c r="D187" s="5">
        <f t="shared" si="10"/>
        <v>4563.0022174825626</v>
      </c>
      <c r="E187" s="5">
        <f t="shared" si="11"/>
        <v>-1289182.4868481336</v>
      </c>
    </row>
    <row r="188" spans="1:5" x14ac:dyDescent="0.2">
      <c r="A188">
        <v>185</v>
      </c>
      <c r="B188" s="5">
        <f t="shared" si="8"/>
        <v>11031.729662810643</v>
      </c>
      <c r="C188" s="5">
        <f t="shared" si="9"/>
        <v>6445.9124342406676</v>
      </c>
      <c r="D188" s="5">
        <f t="shared" si="10"/>
        <v>4585.8172285699757</v>
      </c>
      <c r="E188" s="5">
        <f t="shared" si="11"/>
        <v>-1284596.6696195637</v>
      </c>
    </row>
    <row r="189" spans="1:5" x14ac:dyDescent="0.2">
      <c r="A189">
        <v>186</v>
      </c>
      <c r="B189" s="5">
        <f t="shared" si="8"/>
        <v>11031.729662810643</v>
      </c>
      <c r="C189" s="5">
        <f t="shared" si="9"/>
        <v>6422.9833480978186</v>
      </c>
      <c r="D189" s="5">
        <f t="shared" si="10"/>
        <v>4608.7463147128246</v>
      </c>
      <c r="E189" s="5">
        <f t="shared" si="11"/>
        <v>-1279987.9233048509</v>
      </c>
    </row>
    <row r="190" spans="1:5" x14ac:dyDescent="0.2">
      <c r="A190">
        <v>187</v>
      </c>
      <c r="B190" s="5">
        <f t="shared" si="8"/>
        <v>11031.729662810643</v>
      </c>
      <c r="C190" s="5">
        <f t="shared" si="9"/>
        <v>6399.9396165242542</v>
      </c>
      <c r="D190" s="5">
        <f t="shared" si="10"/>
        <v>4631.790046286389</v>
      </c>
      <c r="E190" s="5">
        <f t="shared" si="11"/>
        <v>-1275356.1332585646</v>
      </c>
    </row>
    <row r="191" spans="1:5" x14ac:dyDescent="0.2">
      <c r="A191">
        <v>188</v>
      </c>
      <c r="B191" s="5">
        <f t="shared" si="8"/>
        <v>11031.729662810643</v>
      </c>
      <c r="C191" s="5">
        <f t="shared" si="9"/>
        <v>6376.7806662928233</v>
      </c>
      <c r="D191" s="5">
        <f t="shared" si="10"/>
        <v>4654.94899651782</v>
      </c>
      <c r="E191" s="5">
        <f t="shared" si="11"/>
        <v>-1270701.1842620468</v>
      </c>
    </row>
    <row r="192" spans="1:5" x14ac:dyDescent="0.2">
      <c r="A192">
        <v>189</v>
      </c>
      <c r="B192" s="5">
        <f t="shared" si="8"/>
        <v>11031.729662810643</v>
      </c>
      <c r="C192" s="5">
        <f t="shared" si="9"/>
        <v>6353.5059213102331</v>
      </c>
      <c r="D192" s="5">
        <f t="shared" si="10"/>
        <v>4678.2237415004101</v>
      </c>
      <c r="E192" s="5">
        <f t="shared" si="11"/>
        <v>-1266022.9605205464</v>
      </c>
    </row>
    <row r="193" spans="1:5" x14ac:dyDescent="0.2">
      <c r="A193">
        <v>190</v>
      </c>
      <c r="B193" s="5">
        <f t="shared" si="8"/>
        <v>11031.729662810643</v>
      </c>
      <c r="C193" s="5">
        <f t="shared" si="9"/>
        <v>6330.1148026027322</v>
      </c>
      <c r="D193" s="5">
        <f t="shared" si="10"/>
        <v>4701.6148602079111</v>
      </c>
      <c r="E193" s="5">
        <f t="shared" si="11"/>
        <v>-1261321.3456603384</v>
      </c>
    </row>
    <row r="194" spans="1:5" x14ac:dyDescent="0.2">
      <c r="A194">
        <v>191</v>
      </c>
      <c r="B194" s="5">
        <f t="shared" si="8"/>
        <v>11031.729662810643</v>
      </c>
      <c r="C194" s="5">
        <f t="shared" si="9"/>
        <v>6306.6067283016919</v>
      </c>
      <c r="D194" s="5">
        <f t="shared" si="10"/>
        <v>4725.1229345089514</v>
      </c>
      <c r="E194" s="5">
        <f t="shared" si="11"/>
        <v>-1256596.2227258296</v>
      </c>
    </row>
    <row r="195" spans="1:5" x14ac:dyDescent="0.2">
      <c r="A195">
        <v>192</v>
      </c>
      <c r="B195" s="5">
        <f t="shared" si="8"/>
        <v>11031.729662810643</v>
      </c>
      <c r="C195" s="5">
        <f t="shared" si="9"/>
        <v>6282.9811136291473</v>
      </c>
      <c r="D195" s="5">
        <f t="shared" si="10"/>
        <v>4748.7485491814959</v>
      </c>
      <c r="E195" s="5">
        <f t="shared" si="11"/>
        <v>-1251847.4741766481</v>
      </c>
    </row>
    <row r="196" spans="1:5" x14ac:dyDescent="0.2">
      <c r="A196">
        <v>193</v>
      </c>
      <c r="B196" s="5">
        <f t="shared" si="8"/>
        <v>11031.729662810643</v>
      </c>
      <c r="C196" s="5">
        <f t="shared" si="9"/>
        <v>6259.2373708832392</v>
      </c>
      <c r="D196" s="5">
        <f t="shared" si="10"/>
        <v>4772.492291927404</v>
      </c>
      <c r="E196" s="5">
        <f t="shared" si="11"/>
        <v>-1247074.9818847207</v>
      </c>
    </row>
    <row r="197" spans="1:5" x14ac:dyDescent="0.2">
      <c r="A197">
        <v>194</v>
      </c>
      <c r="B197" s="5">
        <f t="shared" ref="B197:B260" si="12">PMT($H$3/12,$H$4*12,$H$6,0,0)</f>
        <v>11031.729662810643</v>
      </c>
      <c r="C197" s="5">
        <f t="shared" si="9"/>
        <v>6235.3749094236036</v>
      </c>
      <c r="D197" s="5">
        <f t="shared" si="10"/>
        <v>4796.3547533870396</v>
      </c>
      <c r="E197" s="5">
        <f t="shared" si="11"/>
        <v>-1242278.6271313338</v>
      </c>
    </row>
    <row r="198" spans="1:5" x14ac:dyDescent="0.2">
      <c r="A198">
        <v>195</v>
      </c>
      <c r="B198" s="5">
        <f t="shared" si="12"/>
        <v>11031.729662810643</v>
      </c>
      <c r="C198" s="5">
        <f t="shared" si="9"/>
        <v>6211.3931356566691</v>
      </c>
      <c r="D198" s="5">
        <f t="shared" si="10"/>
        <v>4820.3365271539742</v>
      </c>
      <c r="E198" s="5">
        <f t="shared" si="11"/>
        <v>-1237458.2906041797</v>
      </c>
    </row>
    <row r="199" spans="1:5" x14ac:dyDescent="0.2">
      <c r="A199">
        <v>196</v>
      </c>
      <c r="B199" s="5">
        <f t="shared" si="12"/>
        <v>11031.729662810643</v>
      </c>
      <c r="C199" s="5">
        <f t="shared" si="9"/>
        <v>6187.2914530208982</v>
      </c>
      <c r="D199" s="5">
        <f t="shared" si="10"/>
        <v>4844.4382097897451</v>
      </c>
      <c r="E199" s="5">
        <f t="shared" si="11"/>
        <v>-1232613.8523943899</v>
      </c>
    </row>
    <row r="200" spans="1:5" x14ac:dyDescent="0.2">
      <c r="A200">
        <v>197</v>
      </c>
      <c r="B200" s="5">
        <f t="shared" si="12"/>
        <v>11031.729662810643</v>
      </c>
      <c r="C200" s="5">
        <f t="shared" si="9"/>
        <v>6163.0692619719493</v>
      </c>
      <c r="D200" s="5">
        <f t="shared" si="10"/>
        <v>4868.6604008386939</v>
      </c>
      <c r="E200" s="5">
        <f t="shared" si="11"/>
        <v>-1227745.1919935513</v>
      </c>
    </row>
    <row r="201" spans="1:5" x14ac:dyDescent="0.2">
      <c r="A201">
        <v>198</v>
      </c>
      <c r="B201" s="5">
        <f t="shared" si="12"/>
        <v>11031.729662810643</v>
      </c>
      <c r="C201" s="5">
        <f t="shared" si="9"/>
        <v>6138.7259599677564</v>
      </c>
      <c r="D201" s="5">
        <f t="shared" si="10"/>
        <v>4893.0037028428869</v>
      </c>
      <c r="E201" s="5">
        <f t="shared" si="11"/>
        <v>-1222852.1882907085</v>
      </c>
    </row>
    <row r="202" spans="1:5" x14ac:dyDescent="0.2">
      <c r="A202">
        <v>199</v>
      </c>
      <c r="B202" s="5">
        <f t="shared" si="12"/>
        <v>11031.729662810643</v>
      </c>
      <c r="C202" s="5">
        <f t="shared" ref="C202:C265" si="13">-E201*$H$3/12</f>
        <v>6114.2609414535427</v>
      </c>
      <c r="D202" s="5">
        <f t="shared" ref="D202:D265" si="14">B202-C202</f>
        <v>4917.4687213571005</v>
      </c>
      <c r="E202" s="5">
        <f t="shared" ref="E202:E265" si="15">E201+D202</f>
        <v>-1217934.7195693513</v>
      </c>
    </row>
    <row r="203" spans="1:5" x14ac:dyDescent="0.2">
      <c r="A203">
        <v>200</v>
      </c>
      <c r="B203" s="5">
        <f t="shared" si="12"/>
        <v>11031.729662810643</v>
      </c>
      <c r="C203" s="5">
        <f t="shared" si="13"/>
        <v>6089.6735978467559</v>
      </c>
      <c r="D203" s="5">
        <f t="shared" si="14"/>
        <v>4942.0560649638874</v>
      </c>
      <c r="E203" s="5">
        <f t="shared" si="15"/>
        <v>-1212992.6635043875</v>
      </c>
    </row>
    <row r="204" spans="1:5" x14ac:dyDescent="0.2">
      <c r="A204">
        <v>201</v>
      </c>
      <c r="B204" s="5">
        <f t="shared" si="12"/>
        <v>11031.729662810643</v>
      </c>
      <c r="C204" s="5">
        <f t="shared" si="13"/>
        <v>6064.9633175219378</v>
      </c>
      <c r="D204" s="5">
        <f t="shared" si="14"/>
        <v>4966.7663452887055</v>
      </c>
      <c r="E204" s="5">
        <f t="shared" si="15"/>
        <v>-1208025.8971590989</v>
      </c>
    </row>
    <row r="205" spans="1:5" x14ac:dyDescent="0.2">
      <c r="A205">
        <v>202</v>
      </c>
      <c r="B205" s="5">
        <f t="shared" si="12"/>
        <v>11031.729662810643</v>
      </c>
      <c r="C205" s="5">
        <f t="shared" si="13"/>
        <v>6040.1294857954936</v>
      </c>
      <c r="D205" s="5">
        <f t="shared" si="14"/>
        <v>4991.6001770151497</v>
      </c>
      <c r="E205" s="5">
        <f t="shared" si="15"/>
        <v>-1203034.2969820837</v>
      </c>
    </row>
    <row r="206" spans="1:5" x14ac:dyDescent="0.2">
      <c r="A206">
        <v>203</v>
      </c>
      <c r="B206" s="5">
        <f t="shared" si="12"/>
        <v>11031.729662810643</v>
      </c>
      <c r="C206" s="5">
        <f t="shared" si="13"/>
        <v>6015.1714849104183</v>
      </c>
      <c r="D206" s="5">
        <f t="shared" si="14"/>
        <v>5016.558177900225</v>
      </c>
      <c r="E206" s="5">
        <f t="shared" si="15"/>
        <v>-1198017.7388041834</v>
      </c>
    </row>
    <row r="207" spans="1:5" x14ac:dyDescent="0.2">
      <c r="A207">
        <v>204</v>
      </c>
      <c r="B207" s="5">
        <f t="shared" si="12"/>
        <v>11031.729662810643</v>
      </c>
      <c r="C207" s="5">
        <f t="shared" si="13"/>
        <v>5990.0886940209166</v>
      </c>
      <c r="D207" s="5">
        <f t="shared" si="14"/>
        <v>5041.6409687897267</v>
      </c>
      <c r="E207" s="5">
        <f t="shared" si="15"/>
        <v>-1192976.0978353936</v>
      </c>
    </row>
    <row r="208" spans="1:5" x14ac:dyDescent="0.2">
      <c r="A208">
        <v>205</v>
      </c>
      <c r="B208" s="5">
        <f t="shared" si="12"/>
        <v>11031.729662810643</v>
      </c>
      <c r="C208" s="5">
        <f t="shared" si="13"/>
        <v>5964.8804891769678</v>
      </c>
      <c r="D208" s="5">
        <f t="shared" si="14"/>
        <v>5066.8491736336755</v>
      </c>
      <c r="E208" s="5">
        <f t="shared" si="15"/>
        <v>-1187909.24866176</v>
      </c>
    </row>
    <row r="209" spans="1:5" x14ac:dyDescent="0.2">
      <c r="A209">
        <v>206</v>
      </c>
      <c r="B209" s="5">
        <f t="shared" si="12"/>
        <v>11031.729662810643</v>
      </c>
      <c r="C209" s="5">
        <f t="shared" si="13"/>
        <v>5939.5462433087996</v>
      </c>
      <c r="D209" s="5">
        <f t="shared" si="14"/>
        <v>5092.1834195018437</v>
      </c>
      <c r="E209" s="5">
        <f t="shared" si="15"/>
        <v>-1182817.0652422581</v>
      </c>
    </row>
    <row r="210" spans="1:5" x14ac:dyDescent="0.2">
      <c r="A210">
        <v>207</v>
      </c>
      <c r="B210" s="5">
        <f t="shared" si="12"/>
        <v>11031.729662810643</v>
      </c>
      <c r="C210" s="5">
        <f t="shared" si="13"/>
        <v>5914.0853262112905</v>
      </c>
      <c r="D210" s="5">
        <f t="shared" si="14"/>
        <v>5117.6443365993528</v>
      </c>
      <c r="E210" s="5">
        <f t="shared" si="15"/>
        <v>-1177699.4209056587</v>
      </c>
    </row>
    <row r="211" spans="1:5" x14ac:dyDescent="0.2">
      <c r="A211">
        <v>208</v>
      </c>
      <c r="B211" s="5">
        <f t="shared" si="12"/>
        <v>11031.729662810643</v>
      </c>
      <c r="C211" s="5">
        <f t="shared" si="13"/>
        <v>5888.4971045282937</v>
      </c>
      <c r="D211" s="5">
        <f t="shared" si="14"/>
        <v>5143.2325582823496</v>
      </c>
      <c r="E211" s="5">
        <f t="shared" si="15"/>
        <v>-1172556.1883473764</v>
      </c>
    </row>
    <row r="212" spans="1:5" x14ac:dyDescent="0.2">
      <c r="A212">
        <v>209</v>
      </c>
      <c r="B212" s="5">
        <f t="shared" si="12"/>
        <v>11031.729662810643</v>
      </c>
      <c r="C212" s="5">
        <f t="shared" si="13"/>
        <v>5862.7809417368817</v>
      </c>
      <c r="D212" s="5">
        <f t="shared" si="14"/>
        <v>5168.9487210737616</v>
      </c>
      <c r="E212" s="5">
        <f t="shared" si="15"/>
        <v>-1167387.2396263026</v>
      </c>
    </row>
    <row r="213" spans="1:5" x14ac:dyDescent="0.2">
      <c r="A213">
        <v>210</v>
      </c>
      <c r="B213" s="5">
        <f t="shared" si="12"/>
        <v>11031.729662810643</v>
      </c>
      <c r="C213" s="5">
        <f t="shared" si="13"/>
        <v>5836.9361981315124</v>
      </c>
      <c r="D213" s="5">
        <f t="shared" si="14"/>
        <v>5194.7934646791309</v>
      </c>
      <c r="E213" s="5">
        <f t="shared" si="15"/>
        <v>-1162192.4461616236</v>
      </c>
    </row>
    <row r="214" spans="1:5" x14ac:dyDescent="0.2">
      <c r="A214">
        <v>211</v>
      </c>
      <c r="B214" s="5">
        <f t="shared" si="12"/>
        <v>11031.729662810643</v>
      </c>
      <c r="C214" s="5">
        <f t="shared" si="13"/>
        <v>5810.9622308081171</v>
      </c>
      <c r="D214" s="5">
        <f t="shared" si="14"/>
        <v>5220.7674320025262</v>
      </c>
      <c r="E214" s="5">
        <f t="shared" si="15"/>
        <v>-1156971.678729621</v>
      </c>
    </row>
    <row r="215" spans="1:5" x14ac:dyDescent="0.2">
      <c r="A215">
        <v>212</v>
      </c>
      <c r="B215" s="5">
        <f t="shared" si="12"/>
        <v>11031.729662810643</v>
      </c>
      <c r="C215" s="5">
        <f t="shared" si="13"/>
        <v>5784.8583936481045</v>
      </c>
      <c r="D215" s="5">
        <f t="shared" si="14"/>
        <v>5246.8712691625387</v>
      </c>
      <c r="E215" s="5">
        <f t="shared" si="15"/>
        <v>-1151724.8074604585</v>
      </c>
    </row>
    <row r="216" spans="1:5" x14ac:dyDescent="0.2">
      <c r="A216">
        <v>213</v>
      </c>
      <c r="B216" s="5">
        <f t="shared" si="12"/>
        <v>11031.729662810643</v>
      </c>
      <c r="C216" s="5">
        <f t="shared" si="13"/>
        <v>5758.624037302292</v>
      </c>
      <c r="D216" s="5">
        <f t="shared" si="14"/>
        <v>5273.1056255083513</v>
      </c>
      <c r="E216" s="5">
        <f t="shared" si="15"/>
        <v>-1146451.7018349501</v>
      </c>
    </row>
    <row r="217" spans="1:5" x14ac:dyDescent="0.2">
      <c r="A217">
        <v>214</v>
      </c>
      <c r="B217" s="5">
        <f t="shared" si="12"/>
        <v>11031.729662810643</v>
      </c>
      <c r="C217" s="5">
        <f t="shared" si="13"/>
        <v>5732.2585091747505</v>
      </c>
      <c r="D217" s="5">
        <f t="shared" si="14"/>
        <v>5299.4711536358927</v>
      </c>
      <c r="E217" s="5">
        <f t="shared" si="15"/>
        <v>-1141152.2306813141</v>
      </c>
    </row>
    <row r="218" spans="1:5" x14ac:dyDescent="0.2">
      <c r="A218">
        <v>215</v>
      </c>
      <c r="B218" s="5">
        <f t="shared" si="12"/>
        <v>11031.729662810643</v>
      </c>
      <c r="C218" s="5">
        <f t="shared" si="13"/>
        <v>5705.76115340657</v>
      </c>
      <c r="D218" s="5">
        <f t="shared" si="14"/>
        <v>5325.9685094040733</v>
      </c>
      <c r="E218" s="5">
        <f t="shared" si="15"/>
        <v>-1135826.2621719101</v>
      </c>
    </row>
    <row r="219" spans="1:5" x14ac:dyDescent="0.2">
      <c r="A219">
        <v>216</v>
      </c>
      <c r="B219" s="5">
        <f t="shared" si="12"/>
        <v>11031.729662810643</v>
      </c>
      <c r="C219" s="5">
        <f t="shared" si="13"/>
        <v>5679.1313108595505</v>
      </c>
      <c r="D219" s="5">
        <f t="shared" si="14"/>
        <v>5352.5983519510928</v>
      </c>
      <c r="E219" s="5">
        <f t="shared" si="15"/>
        <v>-1130473.6638199592</v>
      </c>
    </row>
    <row r="220" spans="1:5" x14ac:dyDescent="0.2">
      <c r="A220">
        <v>217</v>
      </c>
      <c r="B220" s="5">
        <f t="shared" si="12"/>
        <v>11031.729662810643</v>
      </c>
      <c r="C220" s="5">
        <f t="shared" si="13"/>
        <v>5652.3683190997954</v>
      </c>
      <c r="D220" s="5">
        <f t="shared" si="14"/>
        <v>5379.3613437108479</v>
      </c>
      <c r="E220" s="5">
        <f t="shared" si="15"/>
        <v>-1125094.3024762482</v>
      </c>
    </row>
    <row r="221" spans="1:5" x14ac:dyDescent="0.2">
      <c r="A221">
        <v>218</v>
      </c>
      <c r="B221" s="5">
        <f t="shared" si="12"/>
        <v>11031.729662810643</v>
      </c>
      <c r="C221" s="5">
        <f t="shared" si="13"/>
        <v>5625.4715123812412</v>
      </c>
      <c r="D221" s="5">
        <f t="shared" si="14"/>
        <v>5406.2581504294021</v>
      </c>
      <c r="E221" s="5">
        <f t="shared" si="15"/>
        <v>-1119688.0443258188</v>
      </c>
    </row>
    <row r="222" spans="1:5" x14ac:dyDescent="0.2">
      <c r="A222">
        <v>219</v>
      </c>
      <c r="B222" s="5">
        <f t="shared" si="12"/>
        <v>11031.729662810643</v>
      </c>
      <c r="C222" s="5">
        <f t="shared" si="13"/>
        <v>5598.4402216290937</v>
      </c>
      <c r="D222" s="5">
        <f t="shared" si="14"/>
        <v>5433.2894411815496</v>
      </c>
      <c r="E222" s="5">
        <f t="shared" si="15"/>
        <v>-1114254.7548846372</v>
      </c>
    </row>
    <row r="223" spans="1:5" x14ac:dyDescent="0.2">
      <c r="A223">
        <v>220</v>
      </c>
      <c r="B223" s="5">
        <f t="shared" si="12"/>
        <v>11031.729662810643</v>
      </c>
      <c r="C223" s="5">
        <f t="shared" si="13"/>
        <v>5571.2737744231854</v>
      </c>
      <c r="D223" s="5">
        <f t="shared" si="14"/>
        <v>5460.4558883874579</v>
      </c>
      <c r="E223" s="5">
        <f t="shared" si="15"/>
        <v>-1108794.2989962497</v>
      </c>
    </row>
    <row r="224" spans="1:5" x14ac:dyDescent="0.2">
      <c r="A224">
        <v>221</v>
      </c>
      <c r="B224" s="5">
        <f t="shared" si="12"/>
        <v>11031.729662810643</v>
      </c>
      <c r="C224" s="5">
        <f t="shared" si="13"/>
        <v>5543.9714949812478</v>
      </c>
      <c r="D224" s="5">
        <f t="shared" si="14"/>
        <v>5487.7581678293955</v>
      </c>
      <c r="E224" s="5">
        <f t="shared" si="15"/>
        <v>-1103306.5408284203</v>
      </c>
    </row>
    <row r="225" spans="1:5" x14ac:dyDescent="0.2">
      <c r="A225">
        <v>222</v>
      </c>
      <c r="B225" s="5">
        <f t="shared" si="12"/>
        <v>11031.729662810643</v>
      </c>
      <c r="C225" s="5">
        <f t="shared" si="13"/>
        <v>5516.5327041421015</v>
      </c>
      <c r="D225" s="5">
        <f t="shared" si="14"/>
        <v>5515.1969586685418</v>
      </c>
      <c r="E225" s="5">
        <f t="shared" si="15"/>
        <v>-1097791.3438697518</v>
      </c>
    </row>
    <row r="226" spans="1:5" x14ac:dyDescent="0.2">
      <c r="A226">
        <v>223</v>
      </c>
      <c r="B226" s="5">
        <f t="shared" si="12"/>
        <v>11031.729662810643</v>
      </c>
      <c r="C226" s="5">
        <f t="shared" si="13"/>
        <v>5488.9567193487592</v>
      </c>
      <c r="D226" s="5">
        <f t="shared" si="14"/>
        <v>5542.7729434618841</v>
      </c>
      <c r="E226" s="5">
        <f t="shared" si="15"/>
        <v>-1092248.57092629</v>
      </c>
    </row>
    <row r="227" spans="1:5" x14ac:dyDescent="0.2">
      <c r="A227">
        <v>224</v>
      </c>
      <c r="B227" s="5">
        <f t="shared" si="12"/>
        <v>11031.729662810643</v>
      </c>
      <c r="C227" s="5">
        <f t="shared" si="13"/>
        <v>5461.2428546314504</v>
      </c>
      <c r="D227" s="5">
        <f t="shared" si="14"/>
        <v>5570.4868081791928</v>
      </c>
      <c r="E227" s="5">
        <f t="shared" si="15"/>
        <v>-1086678.0841181108</v>
      </c>
    </row>
    <row r="228" spans="1:5" x14ac:dyDescent="0.2">
      <c r="A228">
        <v>225</v>
      </c>
      <c r="B228" s="5">
        <f t="shared" si="12"/>
        <v>11031.729662810643</v>
      </c>
      <c r="C228" s="5">
        <f t="shared" si="13"/>
        <v>5433.3904205905537</v>
      </c>
      <c r="D228" s="5">
        <f t="shared" si="14"/>
        <v>5598.3392422200895</v>
      </c>
      <c r="E228" s="5">
        <f t="shared" si="15"/>
        <v>-1081079.7448758907</v>
      </c>
    </row>
    <row r="229" spans="1:5" x14ac:dyDescent="0.2">
      <c r="A229">
        <v>226</v>
      </c>
      <c r="B229" s="5">
        <f t="shared" si="12"/>
        <v>11031.729662810643</v>
      </c>
      <c r="C229" s="5">
        <f t="shared" si="13"/>
        <v>5405.3987243794536</v>
      </c>
      <c r="D229" s="5">
        <f t="shared" si="14"/>
        <v>5626.3309384311897</v>
      </c>
      <c r="E229" s="5">
        <f t="shared" si="15"/>
        <v>-1075453.4139374595</v>
      </c>
    </row>
    <row r="230" spans="1:5" x14ac:dyDescent="0.2">
      <c r="A230">
        <v>227</v>
      </c>
      <c r="B230" s="5">
        <f t="shared" si="12"/>
        <v>11031.729662810643</v>
      </c>
      <c r="C230" s="5">
        <f t="shared" si="13"/>
        <v>5377.2670696872974</v>
      </c>
      <c r="D230" s="5">
        <f t="shared" si="14"/>
        <v>5654.4625931233459</v>
      </c>
      <c r="E230" s="5">
        <f t="shared" si="15"/>
        <v>-1069798.9513443362</v>
      </c>
    </row>
    <row r="231" spans="1:5" x14ac:dyDescent="0.2">
      <c r="A231">
        <v>228</v>
      </c>
      <c r="B231" s="5">
        <f t="shared" si="12"/>
        <v>11031.729662810643</v>
      </c>
      <c r="C231" s="5">
        <f t="shared" si="13"/>
        <v>5348.9947567216805</v>
      </c>
      <c r="D231" s="5">
        <f t="shared" si="14"/>
        <v>5682.7349060889628</v>
      </c>
      <c r="E231" s="5">
        <f t="shared" si="15"/>
        <v>-1064116.2164382471</v>
      </c>
    </row>
    <row r="232" spans="1:5" x14ac:dyDescent="0.2">
      <c r="A232">
        <v>229</v>
      </c>
      <c r="B232" s="5">
        <f t="shared" si="12"/>
        <v>11031.729662810643</v>
      </c>
      <c r="C232" s="5">
        <f t="shared" si="13"/>
        <v>5320.5810821912355</v>
      </c>
      <c r="D232" s="5">
        <f t="shared" si="14"/>
        <v>5711.1485806194078</v>
      </c>
      <c r="E232" s="5">
        <f t="shared" si="15"/>
        <v>-1058405.0678576278</v>
      </c>
    </row>
    <row r="233" spans="1:5" x14ac:dyDescent="0.2">
      <c r="A233">
        <v>230</v>
      </c>
      <c r="B233" s="5">
        <f t="shared" si="12"/>
        <v>11031.729662810643</v>
      </c>
      <c r="C233" s="5">
        <f t="shared" si="13"/>
        <v>5292.0253392881386</v>
      </c>
      <c r="D233" s="5">
        <f t="shared" si="14"/>
        <v>5739.7043235225046</v>
      </c>
      <c r="E233" s="5">
        <f t="shared" si="15"/>
        <v>-1052665.3635341052</v>
      </c>
    </row>
    <row r="234" spans="1:5" x14ac:dyDescent="0.2">
      <c r="A234">
        <v>231</v>
      </c>
      <c r="B234" s="5">
        <f t="shared" si="12"/>
        <v>11031.729662810643</v>
      </c>
      <c r="C234" s="5">
        <f t="shared" si="13"/>
        <v>5263.326817670526</v>
      </c>
      <c r="D234" s="5">
        <f t="shared" si="14"/>
        <v>5768.4028451401173</v>
      </c>
      <c r="E234" s="5">
        <f t="shared" si="15"/>
        <v>-1046896.9606889652</v>
      </c>
    </row>
    <row r="235" spans="1:5" x14ac:dyDescent="0.2">
      <c r="A235">
        <v>232</v>
      </c>
      <c r="B235" s="5">
        <f t="shared" si="12"/>
        <v>11031.729662810643</v>
      </c>
      <c r="C235" s="5">
        <f t="shared" si="13"/>
        <v>5234.484803444825</v>
      </c>
      <c r="D235" s="5">
        <f t="shared" si="14"/>
        <v>5797.2448593658182</v>
      </c>
      <c r="E235" s="5">
        <f t="shared" si="15"/>
        <v>-1041099.7158295993</v>
      </c>
    </row>
    <row r="236" spans="1:5" x14ac:dyDescent="0.2">
      <c r="A236">
        <v>233</v>
      </c>
      <c r="B236" s="5">
        <f t="shared" si="12"/>
        <v>11031.729662810643</v>
      </c>
      <c r="C236" s="5">
        <f t="shared" si="13"/>
        <v>5205.4985791479967</v>
      </c>
      <c r="D236" s="5">
        <f t="shared" si="14"/>
        <v>5826.2310836626466</v>
      </c>
      <c r="E236" s="5">
        <f t="shared" si="15"/>
        <v>-1035273.4847459367</v>
      </c>
    </row>
    <row r="237" spans="1:5" x14ac:dyDescent="0.2">
      <c r="A237">
        <v>234</v>
      </c>
      <c r="B237" s="5">
        <f t="shared" si="12"/>
        <v>11031.729662810643</v>
      </c>
      <c r="C237" s="5">
        <f t="shared" si="13"/>
        <v>5176.3674237296827</v>
      </c>
      <c r="D237" s="5">
        <f t="shared" si="14"/>
        <v>5855.3622390809605</v>
      </c>
      <c r="E237" s="5">
        <f t="shared" si="15"/>
        <v>-1029418.1225068558</v>
      </c>
    </row>
    <row r="238" spans="1:5" x14ac:dyDescent="0.2">
      <c r="A238">
        <v>235</v>
      </c>
      <c r="B238" s="5">
        <f t="shared" si="12"/>
        <v>11031.729662810643</v>
      </c>
      <c r="C238" s="5">
        <f t="shared" si="13"/>
        <v>5147.0906125342781</v>
      </c>
      <c r="D238" s="5">
        <f t="shared" si="14"/>
        <v>5884.6390502763652</v>
      </c>
      <c r="E238" s="5">
        <f t="shared" si="15"/>
        <v>-1023533.4834565794</v>
      </c>
    </row>
    <row r="239" spans="1:5" x14ac:dyDescent="0.2">
      <c r="A239">
        <v>236</v>
      </c>
      <c r="B239" s="5">
        <f t="shared" si="12"/>
        <v>11031.729662810643</v>
      </c>
      <c r="C239" s="5">
        <f t="shared" si="13"/>
        <v>5117.6674172828962</v>
      </c>
      <c r="D239" s="5">
        <f t="shared" si="14"/>
        <v>5914.0622455277471</v>
      </c>
      <c r="E239" s="5">
        <f t="shared" si="15"/>
        <v>-1017619.4212110516</v>
      </c>
    </row>
    <row r="240" spans="1:5" x14ac:dyDescent="0.2">
      <c r="A240">
        <v>237</v>
      </c>
      <c r="B240" s="5">
        <f t="shared" si="12"/>
        <v>11031.729662810643</v>
      </c>
      <c r="C240" s="5">
        <f t="shared" si="13"/>
        <v>5088.0971060552574</v>
      </c>
      <c r="D240" s="5">
        <f t="shared" si="14"/>
        <v>5943.6325567553858</v>
      </c>
      <c r="E240" s="5">
        <f t="shared" si="15"/>
        <v>-1011675.7886542963</v>
      </c>
    </row>
    <row r="241" spans="1:5" x14ac:dyDescent="0.2">
      <c r="A241">
        <v>238</v>
      </c>
      <c r="B241" s="5">
        <f t="shared" si="12"/>
        <v>11031.729662810643</v>
      </c>
      <c r="C241" s="5">
        <f t="shared" si="13"/>
        <v>5058.3789432714811</v>
      </c>
      <c r="D241" s="5">
        <f t="shared" si="14"/>
        <v>5973.3507195391621</v>
      </c>
      <c r="E241" s="5">
        <f t="shared" si="15"/>
        <v>-1005702.4379347571</v>
      </c>
    </row>
    <row r="242" spans="1:5" x14ac:dyDescent="0.2">
      <c r="A242">
        <v>239</v>
      </c>
      <c r="B242" s="5">
        <f t="shared" si="12"/>
        <v>11031.729662810643</v>
      </c>
      <c r="C242" s="5">
        <f t="shared" si="13"/>
        <v>5028.5121896737855</v>
      </c>
      <c r="D242" s="5">
        <f t="shared" si="14"/>
        <v>6003.2174731368577</v>
      </c>
      <c r="E242" s="5">
        <f t="shared" si="15"/>
        <v>-999699.22046162025</v>
      </c>
    </row>
    <row r="243" spans="1:5" x14ac:dyDescent="0.2">
      <c r="A243">
        <v>240</v>
      </c>
      <c r="B243" s="5">
        <f t="shared" si="12"/>
        <v>11031.729662810643</v>
      </c>
      <c r="C243" s="5">
        <f t="shared" si="13"/>
        <v>4998.4961023081005</v>
      </c>
      <c r="D243" s="5">
        <f t="shared" si="14"/>
        <v>6033.2335605025428</v>
      </c>
      <c r="E243" s="5">
        <f t="shared" si="15"/>
        <v>-993665.98690111772</v>
      </c>
    </row>
    <row r="244" spans="1:5" x14ac:dyDescent="0.2">
      <c r="A244">
        <v>241</v>
      </c>
      <c r="B244" s="5">
        <f t="shared" si="12"/>
        <v>11031.729662810643</v>
      </c>
      <c r="C244" s="5">
        <f t="shared" si="13"/>
        <v>4968.3299345055884</v>
      </c>
      <c r="D244" s="5">
        <f t="shared" si="14"/>
        <v>6063.3997283050549</v>
      </c>
      <c r="E244" s="5">
        <f t="shared" si="15"/>
        <v>-987602.58717281267</v>
      </c>
    </row>
    <row r="245" spans="1:5" x14ac:dyDescent="0.2">
      <c r="A245">
        <v>242</v>
      </c>
      <c r="B245" s="5">
        <f t="shared" si="12"/>
        <v>11031.729662810643</v>
      </c>
      <c r="C245" s="5">
        <f t="shared" si="13"/>
        <v>4938.0129358640634</v>
      </c>
      <c r="D245" s="5">
        <f t="shared" si="14"/>
        <v>6093.7167269465799</v>
      </c>
      <c r="E245" s="5">
        <f t="shared" si="15"/>
        <v>-981508.87044586614</v>
      </c>
    </row>
    <row r="246" spans="1:5" x14ac:dyDescent="0.2">
      <c r="A246">
        <v>243</v>
      </c>
      <c r="B246" s="5">
        <f t="shared" si="12"/>
        <v>11031.729662810643</v>
      </c>
      <c r="C246" s="5">
        <f t="shared" si="13"/>
        <v>4907.5443522293308</v>
      </c>
      <c r="D246" s="5">
        <f t="shared" si="14"/>
        <v>6124.1853105813125</v>
      </c>
      <c r="E246" s="5">
        <f t="shared" si="15"/>
        <v>-975384.68513528479</v>
      </c>
    </row>
    <row r="247" spans="1:5" x14ac:dyDescent="0.2">
      <c r="A247">
        <v>244</v>
      </c>
      <c r="B247" s="5">
        <f t="shared" si="12"/>
        <v>11031.729662810643</v>
      </c>
      <c r="C247" s="5">
        <f t="shared" si="13"/>
        <v>4876.9234256764239</v>
      </c>
      <c r="D247" s="5">
        <f t="shared" si="14"/>
        <v>6154.8062371342194</v>
      </c>
      <c r="E247" s="5">
        <f t="shared" si="15"/>
        <v>-969229.87889815052</v>
      </c>
    </row>
    <row r="248" spans="1:5" x14ac:dyDescent="0.2">
      <c r="A248">
        <v>245</v>
      </c>
      <c r="B248" s="5">
        <f t="shared" si="12"/>
        <v>11031.729662810643</v>
      </c>
      <c r="C248" s="5">
        <f t="shared" si="13"/>
        <v>4846.1493944907525</v>
      </c>
      <c r="D248" s="5">
        <f t="shared" si="14"/>
        <v>6185.5802683198908</v>
      </c>
      <c r="E248" s="5">
        <f t="shared" si="15"/>
        <v>-963044.29862983059</v>
      </c>
    </row>
    <row r="249" spans="1:5" x14ac:dyDescent="0.2">
      <c r="A249">
        <v>246</v>
      </c>
      <c r="B249" s="5">
        <f t="shared" si="12"/>
        <v>11031.729662810643</v>
      </c>
      <c r="C249" s="5">
        <f t="shared" si="13"/>
        <v>4815.2214931491526</v>
      </c>
      <c r="D249" s="5">
        <f t="shared" si="14"/>
        <v>6216.5081696614907</v>
      </c>
      <c r="E249" s="5">
        <f t="shared" si="15"/>
        <v>-956827.79046016908</v>
      </c>
    </row>
    <row r="250" spans="1:5" x14ac:dyDescent="0.2">
      <c r="A250">
        <v>247</v>
      </c>
      <c r="B250" s="5">
        <f t="shared" si="12"/>
        <v>11031.729662810643</v>
      </c>
      <c r="C250" s="5">
        <f t="shared" si="13"/>
        <v>4784.1389523008447</v>
      </c>
      <c r="D250" s="5">
        <f t="shared" si="14"/>
        <v>6247.5907105097986</v>
      </c>
      <c r="E250" s="5">
        <f t="shared" si="15"/>
        <v>-950580.19974965928</v>
      </c>
    </row>
    <row r="251" spans="1:5" x14ac:dyDescent="0.2">
      <c r="A251">
        <v>248</v>
      </c>
      <c r="B251" s="5">
        <f t="shared" si="12"/>
        <v>11031.729662810643</v>
      </c>
      <c r="C251" s="5">
        <f t="shared" si="13"/>
        <v>4752.9009987482959</v>
      </c>
      <c r="D251" s="5">
        <f t="shared" si="14"/>
        <v>6278.8286640623473</v>
      </c>
      <c r="E251" s="5">
        <f t="shared" si="15"/>
        <v>-944301.37108559697</v>
      </c>
    </row>
    <row r="252" spans="1:5" x14ac:dyDescent="0.2">
      <c r="A252">
        <v>249</v>
      </c>
      <c r="B252" s="5">
        <f t="shared" si="12"/>
        <v>11031.729662810643</v>
      </c>
      <c r="C252" s="5">
        <f t="shared" si="13"/>
        <v>4721.5068554279851</v>
      </c>
      <c r="D252" s="5">
        <f t="shared" si="14"/>
        <v>6310.2228073826582</v>
      </c>
      <c r="E252" s="5">
        <f t="shared" si="15"/>
        <v>-937991.14827821427</v>
      </c>
    </row>
    <row r="253" spans="1:5" x14ac:dyDescent="0.2">
      <c r="A253">
        <v>250</v>
      </c>
      <c r="B253" s="5">
        <f t="shared" si="12"/>
        <v>11031.729662810643</v>
      </c>
      <c r="C253" s="5">
        <f t="shared" si="13"/>
        <v>4689.9557413910707</v>
      </c>
      <c r="D253" s="5">
        <f t="shared" si="14"/>
        <v>6341.7739214195726</v>
      </c>
      <c r="E253" s="5">
        <f t="shared" si="15"/>
        <v>-931649.37435679475</v>
      </c>
    </row>
    <row r="254" spans="1:5" x14ac:dyDescent="0.2">
      <c r="A254">
        <v>251</v>
      </c>
      <c r="B254" s="5">
        <f t="shared" si="12"/>
        <v>11031.729662810643</v>
      </c>
      <c r="C254" s="5">
        <f t="shared" si="13"/>
        <v>4658.2468717839738</v>
      </c>
      <c r="D254" s="5">
        <f t="shared" si="14"/>
        <v>6373.4827910266695</v>
      </c>
      <c r="E254" s="5">
        <f t="shared" si="15"/>
        <v>-925275.89156576805</v>
      </c>
    </row>
    <row r="255" spans="1:5" x14ac:dyDescent="0.2">
      <c r="A255">
        <v>252</v>
      </c>
      <c r="B255" s="5">
        <f t="shared" si="12"/>
        <v>11031.729662810643</v>
      </c>
      <c r="C255" s="5">
        <f t="shared" si="13"/>
        <v>4626.3794578288398</v>
      </c>
      <c r="D255" s="5">
        <f t="shared" si="14"/>
        <v>6405.3502049818035</v>
      </c>
      <c r="E255" s="5">
        <f t="shared" si="15"/>
        <v>-918870.5413607863</v>
      </c>
    </row>
    <row r="256" spans="1:5" x14ac:dyDescent="0.2">
      <c r="A256">
        <v>253</v>
      </c>
      <c r="B256" s="5">
        <f t="shared" si="12"/>
        <v>11031.729662810643</v>
      </c>
      <c r="C256" s="5">
        <f t="shared" si="13"/>
        <v>4594.3527068039311</v>
      </c>
      <c r="D256" s="5">
        <f t="shared" si="14"/>
        <v>6437.3769560067121</v>
      </c>
      <c r="E256" s="5">
        <f t="shared" si="15"/>
        <v>-912433.16440477956</v>
      </c>
    </row>
    <row r="257" spans="1:5" x14ac:dyDescent="0.2">
      <c r="A257">
        <v>254</v>
      </c>
      <c r="B257" s="5">
        <f t="shared" si="12"/>
        <v>11031.729662810643</v>
      </c>
      <c r="C257" s="5">
        <f t="shared" si="13"/>
        <v>4562.1658220238978</v>
      </c>
      <c r="D257" s="5">
        <f t="shared" si="14"/>
        <v>6469.5638407867455</v>
      </c>
      <c r="E257" s="5">
        <f t="shared" si="15"/>
        <v>-905963.60056399286</v>
      </c>
    </row>
    <row r="258" spans="1:5" x14ac:dyDescent="0.2">
      <c r="A258">
        <v>255</v>
      </c>
      <c r="B258" s="5">
        <f t="shared" si="12"/>
        <v>11031.729662810643</v>
      </c>
      <c r="C258" s="5">
        <f t="shared" si="13"/>
        <v>4529.818002819964</v>
      </c>
      <c r="D258" s="5">
        <f t="shared" si="14"/>
        <v>6501.9116599906793</v>
      </c>
      <c r="E258" s="5">
        <f t="shared" si="15"/>
        <v>-899461.68890400219</v>
      </c>
    </row>
    <row r="259" spans="1:5" x14ac:dyDescent="0.2">
      <c r="A259">
        <v>256</v>
      </c>
      <c r="B259" s="5">
        <f t="shared" si="12"/>
        <v>11031.729662810643</v>
      </c>
      <c r="C259" s="5">
        <f t="shared" si="13"/>
        <v>4497.3084445200102</v>
      </c>
      <c r="D259" s="5">
        <f t="shared" si="14"/>
        <v>6534.4212182906331</v>
      </c>
      <c r="E259" s="5">
        <f t="shared" si="15"/>
        <v>-892927.26768571162</v>
      </c>
    </row>
    <row r="260" spans="1:5" x14ac:dyDescent="0.2">
      <c r="A260">
        <v>257</v>
      </c>
      <c r="B260" s="5">
        <f t="shared" si="12"/>
        <v>11031.729662810643</v>
      </c>
      <c r="C260" s="5">
        <f t="shared" si="13"/>
        <v>4464.6363384285578</v>
      </c>
      <c r="D260" s="5">
        <f t="shared" si="14"/>
        <v>6567.0933243820855</v>
      </c>
      <c r="E260" s="5">
        <f t="shared" si="15"/>
        <v>-886360.17436132953</v>
      </c>
    </row>
    <row r="261" spans="1:5" x14ac:dyDescent="0.2">
      <c r="A261">
        <v>258</v>
      </c>
      <c r="B261" s="5">
        <f t="shared" ref="B261:B324" si="16">PMT($H$3/12,$H$4*12,$H$6,0,0)</f>
        <v>11031.729662810643</v>
      </c>
      <c r="C261" s="5">
        <f t="shared" si="13"/>
        <v>4431.8008718066476</v>
      </c>
      <c r="D261" s="5">
        <f t="shared" si="14"/>
        <v>6599.9287910039957</v>
      </c>
      <c r="E261" s="5">
        <f t="shared" si="15"/>
        <v>-879760.24557032553</v>
      </c>
    </row>
    <row r="262" spans="1:5" x14ac:dyDescent="0.2">
      <c r="A262">
        <v>259</v>
      </c>
      <c r="B262" s="5">
        <f t="shared" si="16"/>
        <v>11031.729662810643</v>
      </c>
      <c r="C262" s="5">
        <f t="shared" si="13"/>
        <v>4398.801227851628</v>
      </c>
      <c r="D262" s="5">
        <f t="shared" si="14"/>
        <v>6632.9284349590152</v>
      </c>
      <c r="E262" s="5">
        <f t="shared" si="15"/>
        <v>-873127.31713536649</v>
      </c>
    </row>
    <row r="263" spans="1:5" x14ac:dyDescent="0.2">
      <c r="A263">
        <v>260</v>
      </c>
      <c r="B263" s="5">
        <f t="shared" si="16"/>
        <v>11031.729662810643</v>
      </c>
      <c r="C263" s="5">
        <f t="shared" si="13"/>
        <v>4365.6365856768325</v>
      </c>
      <c r="D263" s="5">
        <f t="shared" si="14"/>
        <v>6666.0930771338108</v>
      </c>
      <c r="E263" s="5">
        <f t="shared" si="15"/>
        <v>-866461.22405823274</v>
      </c>
    </row>
    <row r="264" spans="1:5" x14ac:dyDescent="0.2">
      <c r="A264">
        <v>261</v>
      </c>
      <c r="B264" s="5">
        <f t="shared" si="16"/>
        <v>11031.729662810643</v>
      </c>
      <c r="C264" s="5">
        <f t="shared" si="13"/>
        <v>4332.306120291164</v>
      </c>
      <c r="D264" s="5">
        <f t="shared" si="14"/>
        <v>6699.4235425194793</v>
      </c>
      <c r="E264" s="5">
        <f t="shared" si="15"/>
        <v>-859761.80051571329</v>
      </c>
    </row>
    <row r="265" spans="1:5" x14ac:dyDescent="0.2">
      <c r="A265">
        <v>262</v>
      </c>
      <c r="B265" s="5">
        <f t="shared" si="16"/>
        <v>11031.729662810643</v>
      </c>
      <c r="C265" s="5">
        <f t="shared" si="13"/>
        <v>4298.8090025785668</v>
      </c>
      <c r="D265" s="5">
        <f t="shared" si="14"/>
        <v>6732.9206602320764</v>
      </c>
      <c r="E265" s="5">
        <f t="shared" si="15"/>
        <v>-853028.87985548121</v>
      </c>
    </row>
    <row r="266" spans="1:5" x14ac:dyDescent="0.2">
      <c r="A266">
        <v>263</v>
      </c>
      <c r="B266" s="5">
        <f t="shared" si="16"/>
        <v>11031.729662810643</v>
      </c>
      <c r="C266" s="5">
        <f t="shared" ref="C266:C329" si="17">-E265*$H$3/12</f>
        <v>4265.1443992774057</v>
      </c>
      <c r="D266" s="5">
        <f t="shared" ref="D266:D329" si="18">B266-C266</f>
        <v>6766.5852635332376</v>
      </c>
      <c r="E266" s="5">
        <f t="shared" ref="E266:E329" si="19">E265+D266</f>
        <v>-846262.29459194792</v>
      </c>
    </row>
    <row r="267" spans="1:5" x14ac:dyDescent="0.2">
      <c r="A267">
        <v>264</v>
      </c>
      <c r="B267" s="5">
        <f t="shared" si="16"/>
        <v>11031.729662810643</v>
      </c>
      <c r="C267" s="5">
        <f t="shared" si="17"/>
        <v>4231.3114729597391</v>
      </c>
      <c r="D267" s="5">
        <f t="shared" si="18"/>
        <v>6800.4181898509041</v>
      </c>
      <c r="E267" s="5">
        <f t="shared" si="19"/>
        <v>-839461.87640209706</v>
      </c>
    </row>
    <row r="268" spans="1:5" x14ac:dyDescent="0.2">
      <c r="A268">
        <v>265</v>
      </c>
      <c r="B268" s="5">
        <f t="shared" si="16"/>
        <v>11031.729662810643</v>
      </c>
      <c r="C268" s="5">
        <f t="shared" si="17"/>
        <v>4197.309382010485</v>
      </c>
      <c r="D268" s="5">
        <f t="shared" si="18"/>
        <v>6834.4202808001583</v>
      </c>
      <c r="E268" s="5">
        <f t="shared" si="19"/>
        <v>-832627.45612129685</v>
      </c>
    </row>
    <row r="269" spans="1:5" x14ac:dyDescent="0.2">
      <c r="A269">
        <v>266</v>
      </c>
      <c r="B269" s="5">
        <f t="shared" si="16"/>
        <v>11031.729662810643</v>
      </c>
      <c r="C269" s="5">
        <f t="shared" si="17"/>
        <v>4163.1372806064837</v>
      </c>
      <c r="D269" s="5">
        <f t="shared" si="18"/>
        <v>6868.5923822041595</v>
      </c>
      <c r="E269" s="5">
        <f t="shared" si="19"/>
        <v>-825758.86373909272</v>
      </c>
    </row>
    <row r="270" spans="1:5" x14ac:dyDescent="0.2">
      <c r="A270">
        <v>267</v>
      </c>
      <c r="B270" s="5">
        <f t="shared" si="16"/>
        <v>11031.729662810643</v>
      </c>
      <c r="C270" s="5">
        <f t="shared" si="17"/>
        <v>4128.7943186954635</v>
      </c>
      <c r="D270" s="5">
        <f t="shared" si="18"/>
        <v>6902.9353441151798</v>
      </c>
      <c r="E270" s="5">
        <f t="shared" si="19"/>
        <v>-818855.92839497759</v>
      </c>
    </row>
    <row r="271" spans="1:5" x14ac:dyDescent="0.2">
      <c r="A271">
        <v>268</v>
      </c>
      <c r="B271" s="5">
        <f t="shared" si="16"/>
        <v>11031.729662810643</v>
      </c>
      <c r="C271" s="5">
        <f t="shared" si="17"/>
        <v>4094.2796419748879</v>
      </c>
      <c r="D271" s="5">
        <f t="shared" si="18"/>
        <v>6937.4500208357549</v>
      </c>
      <c r="E271" s="5">
        <f t="shared" si="19"/>
        <v>-811918.47837414185</v>
      </c>
    </row>
    <row r="272" spans="1:5" x14ac:dyDescent="0.2">
      <c r="A272">
        <v>269</v>
      </c>
      <c r="B272" s="5">
        <f t="shared" si="16"/>
        <v>11031.729662810643</v>
      </c>
      <c r="C272" s="5">
        <f t="shared" si="17"/>
        <v>4059.592391870709</v>
      </c>
      <c r="D272" s="5">
        <f t="shared" si="18"/>
        <v>6972.1372709399348</v>
      </c>
      <c r="E272" s="5">
        <f t="shared" si="19"/>
        <v>-804946.34110320196</v>
      </c>
    </row>
    <row r="273" spans="1:5" x14ac:dyDescent="0.2">
      <c r="A273">
        <v>270</v>
      </c>
      <c r="B273" s="5">
        <f t="shared" si="16"/>
        <v>11031.729662810643</v>
      </c>
      <c r="C273" s="5">
        <f t="shared" si="17"/>
        <v>4024.7317055160097</v>
      </c>
      <c r="D273" s="5">
        <f t="shared" si="18"/>
        <v>7006.997957294634</v>
      </c>
      <c r="E273" s="5">
        <f t="shared" si="19"/>
        <v>-797939.34314590727</v>
      </c>
    </row>
    <row r="274" spans="1:5" x14ac:dyDescent="0.2">
      <c r="A274">
        <v>271</v>
      </c>
      <c r="B274" s="5">
        <f t="shared" si="16"/>
        <v>11031.729662810643</v>
      </c>
      <c r="C274" s="5">
        <f t="shared" si="17"/>
        <v>3989.6967157295362</v>
      </c>
      <c r="D274" s="5">
        <f t="shared" si="18"/>
        <v>7042.0329470811066</v>
      </c>
      <c r="E274" s="5">
        <f t="shared" si="19"/>
        <v>-790897.31019882613</v>
      </c>
    </row>
    <row r="275" spans="1:5" x14ac:dyDescent="0.2">
      <c r="A275">
        <v>272</v>
      </c>
      <c r="B275" s="5">
        <f t="shared" si="16"/>
        <v>11031.729662810643</v>
      </c>
      <c r="C275" s="5">
        <f t="shared" si="17"/>
        <v>3954.4865509941305</v>
      </c>
      <c r="D275" s="5">
        <f t="shared" si="18"/>
        <v>7077.2431118165132</v>
      </c>
      <c r="E275" s="5">
        <f t="shared" si="19"/>
        <v>-783820.06708700967</v>
      </c>
    </row>
    <row r="276" spans="1:5" x14ac:dyDescent="0.2">
      <c r="A276">
        <v>273</v>
      </c>
      <c r="B276" s="5">
        <f t="shared" si="16"/>
        <v>11031.729662810643</v>
      </c>
      <c r="C276" s="5">
        <f t="shared" si="17"/>
        <v>3919.1003354350482</v>
      </c>
      <c r="D276" s="5">
        <f t="shared" si="18"/>
        <v>7112.6293273755946</v>
      </c>
      <c r="E276" s="5">
        <f t="shared" si="19"/>
        <v>-776707.43775963411</v>
      </c>
    </row>
    <row r="277" spans="1:5" x14ac:dyDescent="0.2">
      <c r="A277">
        <v>274</v>
      </c>
      <c r="B277" s="5">
        <f t="shared" si="16"/>
        <v>11031.729662810643</v>
      </c>
      <c r="C277" s="5">
        <f t="shared" si="17"/>
        <v>3883.5371887981705</v>
      </c>
      <c r="D277" s="5">
        <f t="shared" si="18"/>
        <v>7148.1924740124723</v>
      </c>
      <c r="E277" s="5">
        <f t="shared" si="19"/>
        <v>-769559.24528562161</v>
      </c>
    </row>
    <row r="278" spans="1:5" x14ac:dyDescent="0.2">
      <c r="A278">
        <v>275</v>
      </c>
      <c r="B278" s="5">
        <f t="shared" si="16"/>
        <v>11031.729662810643</v>
      </c>
      <c r="C278" s="5">
        <f t="shared" si="17"/>
        <v>3847.7962264281082</v>
      </c>
      <c r="D278" s="5">
        <f t="shared" si="18"/>
        <v>7183.9334363825346</v>
      </c>
      <c r="E278" s="5">
        <f t="shared" si="19"/>
        <v>-762375.31184923905</v>
      </c>
    </row>
    <row r="279" spans="1:5" x14ac:dyDescent="0.2">
      <c r="A279">
        <v>276</v>
      </c>
      <c r="B279" s="5">
        <f t="shared" si="16"/>
        <v>11031.729662810643</v>
      </c>
      <c r="C279" s="5">
        <f t="shared" si="17"/>
        <v>3811.876559246195</v>
      </c>
      <c r="D279" s="5">
        <f t="shared" si="18"/>
        <v>7219.8531035644482</v>
      </c>
      <c r="E279" s="5">
        <f t="shared" si="19"/>
        <v>-755155.45874567458</v>
      </c>
    </row>
    <row r="280" spans="1:5" x14ac:dyDescent="0.2">
      <c r="A280">
        <v>277</v>
      </c>
      <c r="B280" s="5">
        <f t="shared" si="16"/>
        <v>11031.729662810643</v>
      </c>
      <c r="C280" s="5">
        <f t="shared" si="17"/>
        <v>3775.777293728373</v>
      </c>
      <c r="D280" s="5">
        <f t="shared" si="18"/>
        <v>7255.9523690822698</v>
      </c>
      <c r="E280" s="5">
        <f t="shared" si="19"/>
        <v>-747899.50637659233</v>
      </c>
    </row>
    <row r="281" spans="1:5" x14ac:dyDescent="0.2">
      <c r="A281">
        <v>278</v>
      </c>
      <c r="B281" s="5">
        <f t="shared" si="16"/>
        <v>11031.729662810643</v>
      </c>
      <c r="C281" s="5">
        <f t="shared" si="17"/>
        <v>3739.4975318829615</v>
      </c>
      <c r="D281" s="5">
        <f t="shared" si="18"/>
        <v>7292.2321309276813</v>
      </c>
      <c r="E281" s="5">
        <f t="shared" si="19"/>
        <v>-740607.27424566459</v>
      </c>
    </row>
    <row r="282" spans="1:5" x14ac:dyDescent="0.2">
      <c r="A282">
        <v>279</v>
      </c>
      <c r="B282" s="5">
        <f t="shared" si="16"/>
        <v>11031.729662810643</v>
      </c>
      <c r="C282" s="5">
        <f t="shared" si="17"/>
        <v>3703.0363712283229</v>
      </c>
      <c r="D282" s="5">
        <f t="shared" si="18"/>
        <v>7328.6932915823199</v>
      </c>
      <c r="E282" s="5">
        <f t="shared" si="19"/>
        <v>-733278.58095408231</v>
      </c>
    </row>
    <row r="283" spans="1:5" x14ac:dyDescent="0.2">
      <c r="A283">
        <v>280</v>
      </c>
      <c r="B283" s="5">
        <f t="shared" si="16"/>
        <v>11031.729662810643</v>
      </c>
      <c r="C283" s="5">
        <f t="shared" si="17"/>
        <v>3666.3929047704114</v>
      </c>
      <c r="D283" s="5">
        <f t="shared" si="18"/>
        <v>7365.3367580402319</v>
      </c>
      <c r="E283" s="5">
        <f t="shared" si="19"/>
        <v>-725913.24419604207</v>
      </c>
    </row>
    <row r="284" spans="1:5" x14ac:dyDescent="0.2">
      <c r="A284">
        <v>281</v>
      </c>
      <c r="B284" s="5">
        <f t="shared" si="16"/>
        <v>11031.729662810643</v>
      </c>
      <c r="C284" s="5">
        <f t="shared" si="17"/>
        <v>3629.5662209802103</v>
      </c>
      <c r="D284" s="5">
        <f t="shared" si="18"/>
        <v>7402.1634418304329</v>
      </c>
      <c r="E284" s="5">
        <f t="shared" si="19"/>
        <v>-718511.08075421164</v>
      </c>
    </row>
    <row r="285" spans="1:5" x14ac:dyDescent="0.2">
      <c r="A285">
        <v>282</v>
      </c>
      <c r="B285" s="5">
        <f t="shared" si="16"/>
        <v>11031.729662810643</v>
      </c>
      <c r="C285" s="5">
        <f t="shared" si="17"/>
        <v>3592.5554037710576</v>
      </c>
      <c r="D285" s="5">
        <f t="shared" si="18"/>
        <v>7439.1742590395861</v>
      </c>
      <c r="E285" s="5">
        <f t="shared" si="19"/>
        <v>-711071.90649517206</v>
      </c>
    </row>
    <row r="286" spans="1:5" x14ac:dyDescent="0.2">
      <c r="A286">
        <v>283</v>
      </c>
      <c r="B286" s="5">
        <f t="shared" si="16"/>
        <v>11031.729662810643</v>
      </c>
      <c r="C286" s="5">
        <f t="shared" si="17"/>
        <v>3555.3595324758603</v>
      </c>
      <c r="D286" s="5">
        <f t="shared" si="18"/>
        <v>7476.3701303347825</v>
      </c>
      <c r="E286" s="5">
        <f t="shared" si="19"/>
        <v>-703595.53636483732</v>
      </c>
    </row>
    <row r="287" spans="1:5" x14ac:dyDescent="0.2">
      <c r="A287">
        <v>284</v>
      </c>
      <c r="B287" s="5">
        <f t="shared" si="16"/>
        <v>11031.729662810643</v>
      </c>
      <c r="C287" s="5">
        <f t="shared" si="17"/>
        <v>3517.9776818241862</v>
      </c>
      <c r="D287" s="5">
        <f t="shared" si="18"/>
        <v>7513.7519809864571</v>
      </c>
      <c r="E287" s="5">
        <f t="shared" si="19"/>
        <v>-696081.78438385087</v>
      </c>
    </row>
    <row r="288" spans="1:5" x14ac:dyDescent="0.2">
      <c r="A288">
        <v>285</v>
      </c>
      <c r="B288" s="5">
        <f t="shared" si="16"/>
        <v>11031.729662810643</v>
      </c>
      <c r="C288" s="5">
        <f t="shared" si="17"/>
        <v>3480.4089219192542</v>
      </c>
      <c r="D288" s="5">
        <f t="shared" si="18"/>
        <v>7551.3207408913895</v>
      </c>
      <c r="E288" s="5">
        <f t="shared" si="19"/>
        <v>-688530.46364295948</v>
      </c>
    </row>
    <row r="289" spans="1:5" x14ac:dyDescent="0.2">
      <c r="A289">
        <v>286</v>
      </c>
      <c r="B289" s="5">
        <f t="shared" si="16"/>
        <v>11031.729662810643</v>
      </c>
      <c r="C289" s="5">
        <f t="shared" si="17"/>
        <v>3442.6523182147976</v>
      </c>
      <c r="D289" s="5">
        <f t="shared" si="18"/>
        <v>7589.0773445958457</v>
      </c>
      <c r="E289" s="5">
        <f t="shared" si="19"/>
        <v>-680941.38629836368</v>
      </c>
    </row>
    <row r="290" spans="1:5" x14ac:dyDescent="0.2">
      <c r="A290">
        <v>287</v>
      </c>
      <c r="B290" s="5">
        <f t="shared" si="16"/>
        <v>11031.729662810643</v>
      </c>
      <c r="C290" s="5">
        <f t="shared" si="17"/>
        <v>3404.7069314918185</v>
      </c>
      <c r="D290" s="5">
        <f t="shared" si="18"/>
        <v>7627.0227313188243</v>
      </c>
      <c r="E290" s="5">
        <f t="shared" si="19"/>
        <v>-673314.36356704484</v>
      </c>
    </row>
    <row r="291" spans="1:5" x14ac:dyDescent="0.2">
      <c r="A291">
        <v>288</v>
      </c>
      <c r="B291" s="5">
        <f t="shared" si="16"/>
        <v>11031.729662810643</v>
      </c>
      <c r="C291" s="5">
        <f t="shared" si="17"/>
        <v>3366.571817835224</v>
      </c>
      <c r="D291" s="5">
        <f t="shared" si="18"/>
        <v>7665.1578449754197</v>
      </c>
      <c r="E291" s="5">
        <f t="shared" si="19"/>
        <v>-665649.20572206937</v>
      </c>
    </row>
    <row r="292" spans="1:5" x14ac:dyDescent="0.2">
      <c r="A292">
        <v>289</v>
      </c>
      <c r="B292" s="5">
        <f t="shared" si="16"/>
        <v>11031.729662810643</v>
      </c>
      <c r="C292" s="5">
        <f t="shared" si="17"/>
        <v>3328.2460286103469</v>
      </c>
      <c r="D292" s="5">
        <f t="shared" si="18"/>
        <v>7703.4836342002964</v>
      </c>
      <c r="E292" s="5">
        <f t="shared" si="19"/>
        <v>-657945.72208786907</v>
      </c>
    </row>
    <row r="293" spans="1:5" x14ac:dyDescent="0.2">
      <c r="A293">
        <v>290</v>
      </c>
      <c r="B293" s="5">
        <f t="shared" si="16"/>
        <v>11031.729662810643</v>
      </c>
      <c r="C293" s="5">
        <f t="shared" si="17"/>
        <v>3289.7286104393456</v>
      </c>
      <c r="D293" s="5">
        <f t="shared" si="18"/>
        <v>7742.0010523712972</v>
      </c>
      <c r="E293" s="5">
        <f t="shared" si="19"/>
        <v>-650203.72103549773</v>
      </c>
    </row>
    <row r="294" spans="1:5" x14ac:dyDescent="0.2">
      <c r="A294">
        <v>291</v>
      </c>
      <c r="B294" s="5">
        <f t="shared" si="16"/>
        <v>11031.729662810643</v>
      </c>
      <c r="C294" s="5">
        <f t="shared" si="17"/>
        <v>3251.0186051774886</v>
      </c>
      <c r="D294" s="5">
        <f t="shared" si="18"/>
        <v>7780.7110576331543</v>
      </c>
      <c r="E294" s="5">
        <f t="shared" si="19"/>
        <v>-642423.00997786457</v>
      </c>
    </row>
    <row r="295" spans="1:5" x14ac:dyDescent="0.2">
      <c r="A295">
        <v>292</v>
      </c>
      <c r="B295" s="5">
        <f t="shared" si="16"/>
        <v>11031.729662810643</v>
      </c>
      <c r="C295" s="5">
        <f t="shared" si="17"/>
        <v>3212.1150498893226</v>
      </c>
      <c r="D295" s="5">
        <f t="shared" si="18"/>
        <v>7819.6146129213212</v>
      </c>
      <c r="E295" s="5">
        <f t="shared" si="19"/>
        <v>-634603.39536494319</v>
      </c>
    </row>
    <row r="296" spans="1:5" x14ac:dyDescent="0.2">
      <c r="A296">
        <v>293</v>
      </c>
      <c r="B296" s="5">
        <f t="shared" si="16"/>
        <v>11031.729662810643</v>
      </c>
      <c r="C296" s="5">
        <f t="shared" si="17"/>
        <v>3173.016976824716</v>
      </c>
      <c r="D296" s="5">
        <f t="shared" si="18"/>
        <v>7858.7126859859272</v>
      </c>
      <c r="E296" s="5">
        <f t="shared" si="19"/>
        <v>-626744.68267895724</v>
      </c>
    </row>
    <row r="297" spans="1:5" x14ac:dyDescent="0.2">
      <c r="A297">
        <v>294</v>
      </c>
      <c r="B297" s="5">
        <f t="shared" si="16"/>
        <v>11031.729662810643</v>
      </c>
      <c r="C297" s="5">
        <f t="shared" si="17"/>
        <v>3133.7234133947859</v>
      </c>
      <c r="D297" s="5">
        <f t="shared" si="18"/>
        <v>7898.0062494158574</v>
      </c>
      <c r="E297" s="5">
        <f t="shared" si="19"/>
        <v>-618846.67642954143</v>
      </c>
    </row>
    <row r="298" spans="1:5" x14ac:dyDescent="0.2">
      <c r="A298">
        <v>295</v>
      </c>
      <c r="B298" s="5">
        <f t="shared" si="16"/>
        <v>11031.729662810643</v>
      </c>
      <c r="C298" s="5">
        <f t="shared" si="17"/>
        <v>3094.2333821477073</v>
      </c>
      <c r="D298" s="5">
        <f t="shared" si="18"/>
        <v>7937.4962806629355</v>
      </c>
      <c r="E298" s="5">
        <f t="shared" si="19"/>
        <v>-610909.18014887848</v>
      </c>
    </row>
    <row r="299" spans="1:5" x14ac:dyDescent="0.2">
      <c r="A299">
        <v>296</v>
      </c>
      <c r="B299" s="5">
        <f t="shared" si="16"/>
        <v>11031.729662810643</v>
      </c>
      <c r="C299" s="5">
        <f t="shared" si="17"/>
        <v>3054.5459007443919</v>
      </c>
      <c r="D299" s="5">
        <f t="shared" si="18"/>
        <v>7977.1837620662518</v>
      </c>
      <c r="E299" s="5">
        <f t="shared" si="19"/>
        <v>-602931.99638681218</v>
      </c>
    </row>
    <row r="300" spans="1:5" x14ac:dyDescent="0.2">
      <c r="A300">
        <v>297</v>
      </c>
      <c r="B300" s="5">
        <f t="shared" si="16"/>
        <v>11031.729662810643</v>
      </c>
      <c r="C300" s="5">
        <f t="shared" si="17"/>
        <v>3014.6599819340609</v>
      </c>
      <c r="D300" s="5">
        <f t="shared" si="18"/>
        <v>8017.0696808765824</v>
      </c>
      <c r="E300" s="5">
        <f t="shared" si="19"/>
        <v>-594914.92670593562</v>
      </c>
    </row>
    <row r="301" spans="1:5" x14ac:dyDescent="0.2">
      <c r="A301">
        <v>298</v>
      </c>
      <c r="B301" s="5">
        <f t="shared" si="16"/>
        <v>11031.729662810643</v>
      </c>
      <c r="C301" s="5">
        <f t="shared" si="17"/>
        <v>2974.5746335296776</v>
      </c>
      <c r="D301" s="5">
        <f t="shared" si="18"/>
        <v>8057.1550292809661</v>
      </c>
      <c r="E301" s="5">
        <f t="shared" si="19"/>
        <v>-586857.77167665469</v>
      </c>
    </row>
    <row r="302" spans="1:5" x14ac:dyDescent="0.2">
      <c r="A302">
        <v>299</v>
      </c>
      <c r="B302" s="5">
        <f t="shared" si="16"/>
        <v>11031.729662810643</v>
      </c>
      <c r="C302" s="5">
        <f t="shared" si="17"/>
        <v>2934.2888583832732</v>
      </c>
      <c r="D302" s="5">
        <f t="shared" si="18"/>
        <v>8097.4408044273696</v>
      </c>
      <c r="E302" s="5">
        <f t="shared" si="19"/>
        <v>-578760.33087222732</v>
      </c>
    </row>
    <row r="303" spans="1:5" x14ac:dyDescent="0.2">
      <c r="A303">
        <v>300</v>
      </c>
      <c r="B303" s="5">
        <f t="shared" si="16"/>
        <v>11031.729662810643</v>
      </c>
      <c r="C303" s="5">
        <f t="shared" si="17"/>
        <v>2893.8016543611361</v>
      </c>
      <c r="D303" s="5">
        <f t="shared" si="18"/>
        <v>8137.9280084495076</v>
      </c>
      <c r="E303" s="5">
        <f t="shared" si="19"/>
        <v>-570622.40286377782</v>
      </c>
    </row>
    <row r="304" spans="1:5" x14ac:dyDescent="0.2">
      <c r="A304">
        <v>301</v>
      </c>
      <c r="B304" s="5">
        <f t="shared" si="16"/>
        <v>11031.729662810643</v>
      </c>
      <c r="C304" s="5">
        <f t="shared" si="17"/>
        <v>2853.1120143188891</v>
      </c>
      <c r="D304" s="5">
        <f t="shared" si="18"/>
        <v>8178.6176484917542</v>
      </c>
      <c r="E304" s="5">
        <f t="shared" si="19"/>
        <v>-562443.78521528607</v>
      </c>
    </row>
    <row r="305" spans="1:5" x14ac:dyDescent="0.2">
      <c r="A305">
        <v>302</v>
      </c>
      <c r="B305" s="5">
        <f t="shared" si="16"/>
        <v>11031.729662810643</v>
      </c>
      <c r="C305" s="5">
        <f t="shared" si="17"/>
        <v>2812.2189260764303</v>
      </c>
      <c r="D305" s="5">
        <f t="shared" si="18"/>
        <v>8219.5107367342134</v>
      </c>
      <c r="E305" s="5">
        <f t="shared" si="19"/>
        <v>-554224.27447855182</v>
      </c>
    </row>
    <row r="306" spans="1:5" x14ac:dyDescent="0.2">
      <c r="A306">
        <v>303</v>
      </c>
      <c r="B306" s="5">
        <f t="shared" si="16"/>
        <v>11031.729662810643</v>
      </c>
      <c r="C306" s="5">
        <f t="shared" si="17"/>
        <v>2771.121372392759</v>
      </c>
      <c r="D306" s="5">
        <f t="shared" si="18"/>
        <v>8260.6082904178838</v>
      </c>
      <c r="E306" s="5">
        <f t="shared" si="19"/>
        <v>-545963.66618813388</v>
      </c>
    </row>
    <row r="307" spans="1:5" x14ac:dyDescent="0.2">
      <c r="A307">
        <v>304</v>
      </c>
      <c r="B307" s="5">
        <f t="shared" si="16"/>
        <v>11031.729662810643</v>
      </c>
      <c r="C307" s="5">
        <f t="shared" si="17"/>
        <v>2729.8183309406691</v>
      </c>
      <c r="D307" s="5">
        <f t="shared" si="18"/>
        <v>8301.9113318699747</v>
      </c>
      <c r="E307" s="5">
        <f t="shared" si="19"/>
        <v>-537661.75485626387</v>
      </c>
    </row>
    <row r="308" spans="1:5" x14ac:dyDescent="0.2">
      <c r="A308">
        <v>305</v>
      </c>
      <c r="B308" s="5">
        <f t="shared" si="16"/>
        <v>11031.729662810643</v>
      </c>
      <c r="C308" s="5">
        <f t="shared" si="17"/>
        <v>2688.3087742813191</v>
      </c>
      <c r="D308" s="5">
        <f t="shared" si="18"/>
        <v>8343.4208885293247</v>
      </c>
      <c r="E308" s="5">
        <f t="shared" si="19"/>
        <v>-529318.33396773459</v>
      </c>
    </row>
    <row r="309" spans="1:5" x14ac:dyDescent="0.2">
      <c r="A309">
        <v>306</v>
      </c>
      <c r="B309" s="5">
        <f t="shared" si="16"/>
        <v>11031.729662810643</v>
      </c>
      <c r="C309" s="5">
        <f t="shared" si="17"/>
        <v>2646.5916698386732</v>
      </c>
      <c r="D309" s="5">
        <f t="shared" si="18"/>
        <v>8385.1379929719697</v>
      </c>
      <c r="E309" s="5">
        <f t="shared" si="19"/>
        <v>-520933.19597476261</v>
      </c>
    </row>
    <row r="310" spans="1:5" x14ac:dyDescent="0.2">
      <c r="A310">
        <v>307</v>
      </c>
      <c r="B310" s="5">
        <f t="shared" si="16"/>
        <v>11031.729662810643</v>
      </c>
      <c r="C310" s="5">
        <f t="shared" si="17"/>
        <v>2604.6659798738128</v>
      </c>
      <c r="D310" s="5">
        <f t="shared" si="18"/>
        <v>8427.0636829368304</v>
      </c>
      <c r="E310" s="5">
        <f t="shared" si="19"/>
        <v>-512506.13229182578</v>
      </c>
    </row>
    <row r="311" spans="1:5" x14ac:dyDescent="0.2">
      <c r="A311">
        <v>308</v>
      </c>
      <c r="B311" s="5">
        <f t="shared" si="16"/>
        <v>11031.729662810643</v>
      </c>
      <c r="C311" s="5">
        <f t="shared" si="17"/>
        <v>2562.5306614591286</v>
      </c>
      <c r="D311" s="5">
        <f t="shared" si="18"/>
        <v>8469.1990013515151</v>
      </c>
      <c r="E311" s="5">
        <f t="shared" si="19"/>
        <v>-504036.93329047429</v>
      </c>
    </row>
    <row r="312" spans="1:5" x14ac:dyDescent="0.2">
      <c r="A312">
        <v>309</v>
      </c>
      <c r="B312" s="5">
        <f t="shared" si="16"/>
        <v>11031.729662810643</v>
      </c>
      <c r="C312" s="5">
        <f t="shared" si="17"/>
        <v>2520.1846664523714</v>
      </c>
      <c r="D312" s="5">
        <f t="shared" si="18"/>
        <v>8511.5449963582723</v>
      </c>
      <c r="E312" s="5">
        <f t="shared" si="19"/>
        <v>-495525.38829411601</v>
      </c>
    </row>
    <row r="313" spans="1:5" x14ac:dyDescent="0.2">
      <c r="A313">
        <v>310</v>
      </c>
      <c r="B313" s="5">
        <f t="shared" si="16"/>
        <v>11031.729662810643</v>
      </c>
      <c r="C313" s="5">
        <f t="shared" si="17"/>
        <v>2477.6269414705798</v>
      </c>
      <c r="D313" s="5">
        <f t="shared" si="18"/>
        <v>8554.102721340063</v>
      </c>
      <c r="E313" s="5">
        <f t="shared" si="19"/>
        <v>-486971.28557277593</v>
      </c>
    </row>
    <row r="314" spans="1:5" x14ac:dyDescent="0.2">
      <c r="A314">
        <v>311</v>
      </c>
      <c r="B314" s="5">
        <f t="shared" si="16"/>
        <v>11031.729662810643</v>
      </c>
      <c r="C314" s="5">
        <f t="shared" si="17"/>
        <v>2434.8564278638796</v>
      </c>
      <c r="D314" s="5">
        <f t="shared" si="18"/>
        <v>8596.8732349467646</v>
      </c>
      <c r="E314" s="5">
        <f t="shared" si="19"/>
        <v>-478374.41233782918</v>
      </c>
    </row>
    <row r="315" spans="1:5" x14ac:dyDescent="0.2">
      <c r="A315">
        <v>312</v>
      </c>
      <c r="B315" s="5">
        <f t="shared" si="16"/>
        <v>11031.729662810643</v>
      </c>
      <c r="C315" s="5">
        <f t="shared" si="17"/>
        <v>2391.8720616891455</v>
      </c>
      <c r="D315" s="5">
        <f t="shared" si="18"/>
        <v>8639.8576011214973</v>
      </c>
      <c r="E315" s="5">
        <f t="shared" si="19"/>
        <v>-469734.55473670771</v>
      </c>
    </row>
    <row r="316" spans="1:5" x14ac:dyDescent="0.2">
      <c r="A316">
        <v>313</v>
      </c>
      <c r="B316" s="5">
        <f t="shared" si="16"/>
        <v>11031.729662810643</v>
      </c>
      <c r="C316" s="5">
        <f t="shared" si="17"/>
        <v>2348.6727736835387</v>
      </c>
      <c r="D316" s="5">
        <f t="shared" si="18"/>
        <v>8683.056889127105</v>
      </c>
      <c r="E316" s="5">
        <f t="shared" si="19"/>
        <v>-461051.49784758058</v>
      </c>
    </row>
    <row r="317" spans="1:5" x14ac:dyDescent="0.2">
      <c r="A317">
        <v>314</v>
      </c>
      <c r="B317" s="5">
        <f t="shared" si="16"/>
        <v>11031.729662810643</v>
      </c>
      <c r="C317" s="5">
        <f t="shared" si="17"/>
        <v>2305.257489237903</v>
      </c>
      <c r="D317" s="5">
        <f t="shared" si="18"/>
        <v>8726.4721735727398</v>
      </c>
      <c r="E317" s="5">
        <f t="shared" si="19"/>
        <v>-452325.02567400783</v>
      </c>
    </row>
    <row r="318" spans="1:5" x14ac:dyDescent="0.2">
      <c r="A318">
        <v>315</v>
      </c>
      <c r="B318" s="5">
        <f t="shared" si="16"/>
        <v>11031.729662810643</v>
      </c>
      <c r="C318" s="5">
        <f t="shared" si="17"/>
        <v>2261.625128370039</v>
      </c>
      <c r="D318" s="5">
        <f t="shared" si="18"/>
        <v>8770.1045344406048</v>
      </c>
      <c r="E318" s="5">
        <f t="shared" si="19"/>
        <v>-443554.92113956722</v>
      </c>
    </row>
    <row r="319" spans="1:5" x14ac:dyDescent="0.2">
      <c r="A319">
        <v>316</v>
      </c>
      <c r="B319" s="5">
        <f t="shared" si="16"/>
        <v>11031.729662810643</v>
      </c>
      <c r="C319" s="5">
        <f t="shared" si="17"/>
        <v>2217.7746056978363</v>
      </c>
      <c r="D319" s="5">
        <f t="shared" si="18"/>
        <v>8813.9550571128075</v>
      </c>
      <c r="E319" s="5">
        <f t="shared" si="19"/>
        <v>-434740.96608245443</v>
      </c>
    </row>
    <row r="320" spans="1:5" x14ac:dyDescent="0.2">
      <c r="A320">
        <v>317</v>
      </c>
      <c r="B320" s="5">
        <f t="shared" si="16"/>
        <v>11031.729662810643</v>
      </c>
      <c r="C320" s="5">
        <f t="shared" si="17"/>
        <v>2173.7048304122723</v>
      </c>
      <c r="D320" s="5">
        <f t="shared" si="18"/>
        <v>8858.0248323983706</v>
      </c>
      <c r="E320" s="5">
        <f t="shared" si="19"/>
        <v>-425882.94125005603</v>
      </c>
    </row>
    <row r="321" spans="1:5" x14ac:dyDescent="0.2">
      <c r="A321">
        <v>318</v>
      </c>
      <c r="B321" s="5">
        <f t="shared" si="16"/>
        <v>11031.729662810643</v>
      </c>
      <c r="C321" s="5">
        <f t="shared" si="17"/>
        <v>2129.4147062502802</v>
      </c>
      <c r="D321" s="5">
        <f t="shared" si="18"/>
        <v>8902.3149565603635</v>
      </c>
      <c r="E321" s="5">
        <f t="shared" si="19"/>
        <v>-416980.62629349565</v>
      </c>
    </row>
    <row r="322" spans="1:5" x14ac:dyDescent="0.2">
      <c r="A322">
        <v>319</v>
      </c>
      <c r="B322" s="5">
        <f t="shared" si="16"/>
        <v>11031.729662810643</v>
      </c>
      <c r="C322" s="5">
        <f t="shared" si="17"/>
        <v>2084.903131467478</v>
      </c>
      <c r="D322" s="5">
        <f t="shared" si="18"/>
        <v>8946.8265313431657</v>
      </c>
      <c r="E322" s="5">
        <f t="shared" si="19"/>
        <v>-408033.79976215248</v>
      </c>
    </row>
    <row r="323" spans="1:5" x14ac:dyDescent="0.2">
      <c r="A323">
        <v>320</v>
      </c>
      <c r="B323" s="5">
        <f t="shared" si="16"/>
        <v>11031.729662810643</v>
      </c>
      <c r="C323" s="5">
        <f t="shared" si="17"/>
        <v>2040.1689988107626</v>
      </c>
      <c r="D323" s="5">
        <f t="shared" si="18"/>
        <v>8991.5606639998805</v>
      </c>
      <c r="E323" s="5">
        <f t="shared" si="19"/>
        <v>-399042.23909815261</v>
      </c>
    </row>
    <row r="324" spans="1:5" x14ac:dyDescent="0.2">
      <c r="A324">
        <v>321</v>
      </c>
      <c r="B324" s="5">
        <f t="shared" si="16"/>
        <v>11031.729662810643</v>
      </c>
      <c r="C324" s="5">
        <f t="shared" si="17"/>
        <v>1995.211195490763</v>
      </c>
      <c r="D324" s="5">
        <f t="shared" si="18"/>
        <v>9036.5184673198801</v>
      </c>
      <c r="E324" s="5">
        <f t="shared" si="19"/>
        <v>-390005.72063083271</v>
      </c>
    </row>
    <row r="325" spans="1:5" x14ac:dyDescent="0.2">
      <c r="A325">
        <v>322</v>
      </c>
      <c r="B325" s="5">
        <f t="shared" ref="B325:B363" si="20">PMT($H$3/12,$H$4*12,$H$6,0,0)</f>
        <v>11031.729662810643</v>
      </c>
      <c r="C325" s="5">
        <f t="shared" si="17"/>
        <v>1950.0286031541636</v>
      </c>
      <c r="D325" s="5">
        <f t="shared" si="18"/>
        <v>9081.7010596564796</v>
      </c>
      <c r="E325" s="5">
        <f t="shared" si="19"/>
        <v>-380924.01957117626</v>
      </c>
    </row>
    <row r="326" spans="1:5" x14ac:dyDescent="0.2">
      <c r="A326">
        <v>323</v>
      </c>
      <c r="B326" s="5">
        <f t="shared" si="20"/>
        <v>11031.729662810643</v>
      </c>
      <c r="C326" s="5">
        <f t="shared" si="17"/>
        <v>1904.6200978558811</v>
      </c>
      <c r="D326" s="5">
        <f t="shared" si="18"/>
        <v>9127.1095649547624</v>
      </c>
      <c r="E326" s="5">
        <f t="shared" si="19"/>
        <v>-371796.9100062215</v>
      </c>
    </row>
    <row r="327" spans="1:5" x14ac:dyDescent="0.2">
      <c r="A327">
        <v>324</v>
      </c>
      <c r="B327" s="5">
        <f t="shared" si="20"/>
        <v>11031.729662810643</v>
      </c>
      <c r="C327" s="5">
        <f t="shared" si="17"/>
        <v>1858.9845500311076</v>
      </c>
      <c r="D327" s="5">
        <f t="shared" si="18"/>
        <v>9172.7451127795357</v>
      </c>
      <c r="E327" s="5">
        <f t="shared" si="19"/>
        <v>-362624.16489344195</v>
      </c>
    </row>
    <row r="328" spans="1:5" x14ac:dyDescent="0.2">
      <c r="A328">
        <v>325</v>
      </c>
      <c r="B328" s="5">
        <f t="shared" si="20"/>
        <v>11031.729662810643</v>
      </c>
      <c r="C328" s="5">
        <f t="shared" si="17"/>
        <v>1813.1208244672098</v>
      </c>
      <c r="D328" s="5">
        <f t="shared" si="18"/>
        <v>9218.6088383434326</v>
      </c>
      <c r="E328" s="5">
        <f t="shared" si="19"/>
        <v>-353405.55605509854</v>
      </c>
    </row>
    <row r="329" spans="1:5" x14ac:dyDescent="0.2">
      <c r="A329">
        <v>326</v>
      </c>
      <c r="B329" s="5">
        <f t="shared" si="20"/>
        <v>11031.729662810643</v>
      </c>
      <c r="C329" s="5">
        <f t="shared" si="17"/>
        <v>1767.0277802754927</v>
      </c>
      <c r="D329" s="5">
        <f t="shared" si="18"/>
        <v>9264.7018825351515</v>
      </c>
      <c r="E329" s="5">
        <f t="shared" si="19"/>
        <v>-344140.85417256341</v>
      </c>
    </row>
    <row r="330" spans="1:5" x14ac:dyDescent="0.2">
      <c r="A330">
        <v>327</v>
      </c>
      <c r="B330" s="5">
        <f t="shared" si="20"/>
        <v>11031.729662810643</v>
      </c>
      <c r="C330" s="5">
        <f t="shared" ref="C330:C363" si="21">-E329*$H$3/12</f>
        <v>1720.7042708628169</v>
      </c>
      <c r="D330" s="5">
        <f t="shared" ref="D330:D363" si="22">B330-C330</f>
        <v>9311.0253919478273</v>
      </c>
      <c r="E330" s="5">
        <f t="shared" ref="E330:E363" si="23">E329+D330</f>
        <v>-334829.82878061559</v>
      </c>
    </row>
    <row r="331" spans="1:5" x14ac:dyDescent="0.2">
      <c r="A331">
        <v>328</v>
      </c>
      <c r="B331" s="5">
        <f t="shared" si="20"/>
        <v>11031.729662810643</v>
      </c>
      <c r="C331" s="5">
        <f t="shared" si="21"/>
        <v>1674.1491439030779</v>
      </c>
      <c r="D331" s="5">
        <f t="shared" si="22"/>
        <v>9357.5805189075654</v>
      </c>
      <c r="E331" s="5">
        <f t="shared" si="23"/>
        <v>-325472.24826170801</v>
      </c>
    </row>
    <row r="332" spans="1:5" x14ac:dyDescent="0.2">
      <c r="A332">
        <v>329</v>
      </c>
      <c r="B332" s="5">
        <f t="shared" si="20"/>
        <v>11031.729662810643</v>
      </c>
      <c r="C332" s="5">
        <f t="shared" si="21"/>
        <v>1627.36124130854</v>
      </c>
      <c r="D332" s="5">
        <f t="shared" si="22"/>
        <v>9404.368421502104</v>
      </c>
      <c r="E332" s="5">
        <f t="shared" si="23"/>
        <v>-316067.87984020589</v>
      </c>
    </row>
    <row r="333" spans="1:5" x14ac:dyDescent="0.2">
      <c r="A333">
        <v>330</v>
      </c>
      <c r="B333" s="5">
        <f t="shared" si="20"/>
        <v>11031.729662810643</v>
      </c>
      <c r="C333" s="5">
        <f t="shared" si="21"/>
        <v>1580.3393992010294</v>
      </c>
      <c r="D333" s="5">
        <f t="shared" si="22"/>
        <v>9451.3902636096136</v>
      </c>
      <c r="E333" s="5">
        <f t="shared" si="23"/>
        <v>-306616.4895765963</v>
      </c>
    </row>
    <row r="334" spans="1:5" x14ac:dyDescent="0.2">
      <c r="A334">
        <v>331</v>
      </c>
      <c r="B334" s="5">
        <f t="shared" si="20"/>
        <v>11031.729662810643</v>
      </c>
      <c r="C334" s="5">
        <f t="shared" si="21"/>
        <v>1533.0824478829816</v>
      </c>
      <c r="D334" s="5">
        <f t="shared" si="22"/>
        <v>9498.6472149276615</v>
      </c>
      <c r="E334" s="5">
        <f t="shared" si="23"/>
        <v>-297117.84236166865</v>
      </c>
    </row>
    <row r="335" spans="1:5" x14ac:dyDescent="0.2">
      <c r="A335">
        <v>332</v>
      </c>
      <c r="B335" s="5">
        <f t="shared" si="20"/>
        <v>11031.729662810643</v>
      </c>
      <c r="C335" s="5">
        <f t="shared" si="21"/>
        <v>1485.5892118083432</v>
      </c>
      <c r="D335" s="5">
        <f t="shared" si="22"/>
        <v>9546.1404510023003</v>
      </c>
      <c r="E335" s="5">
        <f t="shared" si="23"/>
        <v>-287571.70191066636</v>
      </c>
    </row>
    <row r="336" spans="1:5" x14ac:dyDescent="0.2">
      <c r="A336">
        <v>333</v>
      </c>
      <c r="B336" s="5">
        <f t="shared" si="20"/>
        <v>11031.729662810643</v>
      </c>
      <c r="C336" s="5">
        <f t="shared" si="21"/>
        <v>1437.8585095533317</v>
      </c>
      <c r="D336" s="5">
        <f t="shared" si="22"/>
        <v>9593.8711532573107</v>
      </c>
      <c r="E336" s="5">
        <f t="shared" si="23"/>
        <v>-277977.83075740904</v>
      </c>
    </row>
    <row r="337" spans="1:5" x14ac:dyDescent="0.2">
      <c r="A337">
        <v>334</v>
      </c>
      <c r="B337" s="5">
        <f t="shared" si="20"/>
        <v>11031.729662810643</v>
      </c>
      <c r="C337" s="5">
        <f t="shared" si="21"/>
        <v>1389.8891537870452</v>
      </c>
      <c r="D337" s="5">
        <f t="shared" si="22"/>
        <v>9641.8405090235974</v>
      </c>
      <c r="E337" s="5">
        <f t="shared" si="23"/>
        <v>-268335.99024838547</v>
      </c>
    </row>
    <row r="338" spans="1:5" x14ac:dyDescent="0.2">
      <c r="A338">
        <v>335</v>
      </c>
      <c r="B338" s="5">
        <f t="shared" si="20"/>
        <v>11031.729662810643</v>
      </c>
      <c r="C338" s="5">
        <f t="shared" si="21"/>
        <v>1341.6799512419273</v>
      </c>
      <c r="D338" s="5">
        <f t="shared" si="22"/>
        <v>9690.0497115687158</v>
      </c>
      <c r="E338" s="5">
        <f t="shared" si="23"/>
        <v>-258645.94053681675</v>
      </c>
    </row>
    <row r="339" spans="1:5" x14ac:dyDescent="0.2">
      <c r="A339">
        <v>336</v>
      </c>
      <c r="B339" s="5">
        <f t="shared" si="20"/>
        <v>11031.729662810643</v>
      </c>
      <c r="C339" s="5">
        <f t="shared" si="21"/>
        <v>1293.2297026840836</v>
      </c>
      <c r="D339" s="5">
        <f t="shared" si="22"/>
        <v>9738.499960126559</v>
      </c>
      <c r="E339" s="5">
        <f t="shared" si="23"/>
        <v>-248907.44057669019</v>
      </c>
    </row>
    <row r="340" spans="1:5" x14ac:dyDescent="0.2">
      <c r="A340">
        <v>337</v>
      </c>
      <c r="B340" s="5">
        <f t="shared" si="20"/>
        <v>11031.729662810643</v>
      </c>
      <c r="C340" s="5">
        <f t="shared" si="21"/>
        <v>1244.5372028834508</v>
      </c>
      <c r="D340" s="5">
        <f t="shared" si="22"/>
        <v>9787.1924599271915</v>
      </c>
      <c r="E340" s="5">
        <f t="shared" si="23"/>
        <v>-239120.24811676299</v>
      </c>
    </row>
    <row r="341" spans="1:5" x14ac:dyDescent="0.2">
      <c r="A341">
        <v>338</v>
      </c>
      <c r="B341" s="5">
        <f t="shared" si="20"/>
        <v>11031.729662810643</v>
      </c>
      <c r="C341" s="5">
        <f t="shared" si="21"/>
        <v>1195.6012405838148</v>
      </c>
      <c r="D341" s="5">
        <f t="shared" si="22"/>
        <v>9836.1284222268278</v>
      </c>
      <c r="E341" s="5">
        <f t="shared" si="23"/>
        <v>-229284.11969453617</v>
      </c>
    </row>
    <row r="342" spans="1:5" x14ac:dyDescent="0.2">
      <c r="A342">
        <v>339</v>
      </c>
      <c r="B342" s="5">
        <f t="shared" si="20"/>
        <v>11031.729662810643</v>
      </c>
      <c r="C342" s="5">
        <f t="shared" si="21"/>
        <v>1146.4205984726807</v>
      </c>
      <c r="D342" s="5">
        <f t="shared" si="22"/>
        <v>9885.3090643379619</v>
      </c>
      <c r="E342" s="5">
        <f t="shared" si="23"/>
        <v>-219398.81063019822</v>
      </c>
    </row>
    <row r="343" spans="1:5" x14ac:dyDescent="0.2">
      <c r="A343">
        <v>340</v>
      </c>
      <c r="B343" s="5">
        <f t="shared" si="20"/>
        <v>11031.729662810643</v>
      </c>
      <c r="C343" s="5">
        <f t="shared" si="21"/>
        <v>1096.994053150991</v>
      </c>
      <c r="D343" s="5">
        <f t="shared" si="22"/>
        <v>9934.7356096596523</v>
      </c>
      <c r="E343" s="5">
        <f t="shared" si="23"/>
        <v>-209464.07502053856</v>
      </c>
    </row>
    <row r="344" spans="1:5" x14ac:dyDescent="0.2">
      <c r="A344">
        <v>341</v>
      </c>
      <c r="B344" s="5">
        <f t="shared" si="20"/>
        <v>11031.729662810643</v>
      </c>
      <c r="C344" s="5">
        <f t="shared" si="21"/>
        <v>1047.3203751026929</v>
      </c>
      <c r="D344" s="5">
        <f t="shared" si="22"/>
        <v>9984.4092877079511</v>
      </c>
      <c r="E344" s="5">
        <f t="shared" si="23"/>
        <v>-199479.66573283062</v>
      </c>
    </row>
    <row r="345" spans="1:5" x14ac:dyDescent="0.2">
      <c r="A345">
        <v>342</v>
      </c>
      <c r="B345" s="5">
        <f t="shared" si="20"/>
        <v>11031.729662810643</v>
      </c>
      <c r="C345" s="5">
        <f t="shared" si="21"/>
        <v>997.39832866415315</v>
      </c>
      <c r="D345" s="5">
        <f t="shared" si="22"/>
        <v>10034.331334146491</v>
      </c>
      <c r="E345" s="5">
        <f t="shared" si="23"/>
        <v>-189445.33439868412</v>
      </c>
    </row>
    <row r="346" spans="1:5" x14ac:dyDescent="0.2">
      <c r="A346">
        <v>343</v>
      </c>
      <c r="B346" s="5">
        <f t="shared" si="20"/>
        <v>11031.729662810643</v>
      </c>
      <c r="C346" s="5">
        <f t="shared" si="21"/>
        <v>947.2266719934205</v>
      </c>
      <c r="D346" s="5">
        <f t="shared" si="22"/>
        <v>10084.502990817222</v>
      </c>
      <c r="E346" s="5">
        <f t="shared" si="23"/>
        <v>-179360.83140786691</v>
      </c>
    </row>
    <row r="347" spans="1:5" x14ac:dyDescent="0.2">
      <c r="A347">
        <v>344</v>
      </c>
      <c r="B347" s="5">
        <f t="shared" si="20"/>
        <v>11031.729662810643</v>
      </c>
      <c r="C347" s="5">
        <f t="shared" si="21"/>
        <v>896.80415703933443</v>
      </c>
      <c r="D347" s="5">
        <f t="shared" si="22"/>
        <v>10134.925505771309</v>
      </c>
      <c r="E347" s="5">
        <f t="shared" si="23"/>
        <v>-169225.9059020956</v>
      </c>
    </row>
    <row r="348" spans="1:5" x14ac:dyDescent="0.2">
      <c r="A348">
        <v>345</v>
      </c>
      <c r="B348" s="5">
        <f t="shared" si="20"/>
        <v>11031.729662810643</v>
      </c>
      <c r="C348" s="5">
        <f t="shared" si="21"/>
        <v>846.12952951047794</v>
      </c>
      <c r="D348" s="5">
        <f t="shared" si="22"/>
        <v>10185.600133300166</v>
      </c>
      <c r="E348" s="5">
        <f t="shared" si="23"/>
        <v>-159040.30576879543</v>
      </c>
    </row>
    <row r="349" spans="1:5" x14ac:dyDescent="0.2">
      <c r="A349">
        <v>346</v>
      </c>
      <c r="B349" s="5">
        <f t="shared" si="20"/>
        <v>11031.729662810643</v>
      </c>
      <c r="C349" s="5">
        <f t="shared" si="21"/>
        <v>795.20152884397714</v>
      </c>
      <c r="D349" s="5">
        <f t="shared" si="22"/>
        <v>10236.528133966665</v>
      </c>
      <c r="E349" s="5">
        <f t="shared" si="23"/>
        <v>-148803.77763482876</v>
      </c>
    </row>
    <row r="350" spans="1:5" x14ac:dyDescent="0.2">
      <c r="A350">
        <v>347</v>
      </c>
      <c r="B350" s="5">
        <f t="shared" si="20"/>
        <v>11031.729662810643</v>
      </c>
      <c r="C350" s="5">
        <f t="shared" si="21"/>
        <v>744.01888817414374</v>
      </c>
      <c r="D350" s="5">
        <f t="shared" si="22"/>
        <v>10287.7107746365</v>
      </c>
      <c r="E350" s="5">
        <f t="shared" si="23"/>
        <v>-138516.06686019225</v>
      </c>
    </row>
    <row r="351" spans="1:5" x14ac:dyDescent="0.2">
      <c r="A351">
        <v>348</v>
      </c>
      <c r="B351" s="5">
        <f t="shared" si="20"/>
        <v>11031.729662810643</v>
      </c>
      <c r="C351" s="5">
        <f t="shared" si="21"/>
        <v>692.58033430096123</v>
      </c>
      <c r="D351" s="5">
        <f t="shared" si="22"/>
        <v>10339.149328509682</v>
      </c>
      <c r="E351" s="5">
        <f t="shared" si="23"/>
        <v>-128176.91753168257</v>
      </c>
    </row>
    <row r="352" spans="1:5" x14ac:dyDescent="0.2">
      <c r="A352">
        <v>349</v>
      </c>
      <c r="B352" s="5">
        <f t="shared" si="20"/>
        <v>11031.729662810643</v>
      </c>
      <c r="C352" s="5">
        <f t="shared" si="21"/>
        <v>640.8845876584129</v>
      </c>
      <c r="D352" s="5">
        <f t="shared" si="22"/>
        <v>10390.84507515223</v>
      </c>
      <c r="E352" s="5">
        <f t="shared" si="23"/>
        <v>-117786.07245653034</v>
      </c>
    </row>
    <row r="353" spans="1:5" x14ac:dyDescent="0.2">
      <c r="A353">
        <v>350</v>
      </c>
      <c r="B353" s="5">
        <f t="shared" si="20"/>
        <v>11031.729662810643</v>
      </c>
      <c r="C353" s="5">
        <f t="shared" si="21"/>
        <v>588.93036228265169</v>
      </c>
      <c r="D353" s="5">
        <f t="shared" si="22"/>
        <v>10442.799300527991</v>
      </c>
      <c r="E353" s="5">
        <f t="shared" si="23"/>
        <v>-107343.27315600235</v>
      </c>
    </row>
    <row r="354" spans="1:5" x14ac:dyDescent="0.2">
      <c r="A354">
        <v>351</v>
      </c>
      <c r="B354" s="5">
        <f t="shared" si="20"/>
        <v>11031.729662810643</v>
      </c>
      <c r="C354" s="5">
        <f t="shared" si="21"/>
        <v>536.71636578001176</v>
      </c>
      <c r="D354" s="5">
        <f t="shared" si="22"/>
        <v>10495.013297030631</v>
      </c>
      <c r="E354" s="5">
        <f t="shared" si="23"/>
        <v>-96848.259858971724</v>
      </c>
    </row>
    <row r="355" spans="1:5" x14ac:dyDescent="0.2">
      <c r="A355">
        <v>352</v>
      </c>
      <c r="B355" s="5">
        <f t="shared" si="20"/>
        <v>11031.729662810643</v>
      </c>
      <c r="C355" s="5">
        <f t="shared" si="21"/>
        <v>484.24129929485861</v>
      </c>
      <c r="D355" s="5">
        <f t="shared" si="22"/>
        <v>10547.488363515784</v>
      </c>
      <c r="E355" s="5">
        <f t="shared" si="23"/>
        <v>-86300.771495455934</v>
      </c>
    </row>
    <row r="356" spans="1:5" x14ac:dyDescent="0.2">
      <c r="A356">
        <v>353</v>
      </c>
      <c r="B356" s="5">
        <f t="shared" si="20"/>
        <v>11031.729662810643</v>
      </c>
      <c r="C356" s="5">
        <f t="shared" si="21"/>
        <v>431.50385747727961</v>
      </c>
      <c r="D356" s="5">
        <f t="shared" si="22"/>
        <v>10600.225805333364</v>
      </c>
      <c r="E356" s="5">
        <f t="shared" si="23"/>
        <v>-75700.54569012257</v>
      </c>
    </row>
    <row r="357" spans="1:5" x14ac:dyDescent="0.2">
      <c r="A357">
        <v>354</v>
      </c>
      <c r="B357" s="5">
        <f t="shared" si="20"/>
        <v>11031.729662810643</v>
      </c>
      <c r="C357" s="5">
        <f t="shared" si="21"/>
        <v>378.50272845061278</v>
      </c>
      <c r="D357" s="5">
        <f t="shared" si="22"/>
        <v>10653.226934360031</v>
      </c>
      <c r="E357" s="5">
        <f t="shared" si="23"/>
        <v>-65047.318755762535</v>
      </c>
    </row>
    <row r="358" spans="1:5" x14ac:dyDescent="0.2">
      <c r="A358">
        <v>355</v>
      </c>
      <c r="B358" s="5">
        <f t="shared" si="20"/>
        <v>11031.729662810643</v>
      </c>
      <c r="C358" s="5">
        <f t="shared" si="21"/>
        <v>325.23659377881268</v>
      </c>
      <c r="D358" s="5">
        <f t="shared" si="22"/>
        <v>10706.493069031831</v>
      </c>
      <c r="E358" s="5">
        <f t="shared" si="23"/>
        <v>-54340.825686730706</v>
      </c>
    </row>
    <row r="359" spans="1:5" x14ac:dyDescent="0.2">
      <c r="A359">
        <v>356</v>
      </c>
      <c r="B359" s="5">
        <f t="shared" si="20"/>
        <v>11031.729662810643</v>
      </c>
      <c r="C359" s="5">
        <f t="shared" si="21"/>
        <v>271.70412843365352</v>
      </c>
      <c r="D359" s="5">
        <f t="shared" si="22"/>
        <v>10760.02553437699</v>
      </c>
      <c r="E359" s="5">
        <f t="shared" si="23"/>
        <v>-43580.800152353717</v>
      </c>
    </row>
    <row r="360" spans="1:5" x14ac:dyDescent="0.2">
      <c r="A360">
        <v>357</v>
      </c>
      <c r="B360" s="5">
        <f t="shared" si="20"/>
        <v>11031.729662810643</v>
      </c>
      <c r="C360" s="5">
        <f t="shared" si="21"/>
        <v>217.90400076176857</v>
      </c>
      <c r="D360" s="5">
        <f t="shared" si="22"/>
        <v>10813.825662048876</v>
      </c>
      <c r="E360" s="5">
        <f t="shared" si="23"/>
        <v>-32766.974490304841</v>
      </c>
    </row>
    <row r="361" spans="1:5" x14ac:dyDescent="0.2">
      <c r="A361">
        <v>358</v>
      </c>
      <c r="B361" s="5">
        <f t="shared" si="20"/>
        <v>11031.729662810643</v>
      </c>
      <c r="C361" s="5">
        <f t="shared" si="21"/>
        <v>163.83487245152421</v>
      </c>
      <c r="D361" s="5">
        <f t="shared" si="22"/>
        <v>10867.89479035912</v>
      </c>
      <c r="E361" s="5">
        <f t="shared" si="23"/>
        <v>-21899.079699945723</v>
      </c>
    </row>
    <row r="362" spans="1:5" x14ac:dyDescent="0.2">
      <c r="A362">
        <v>359</v>
      </c>
      <c r="B362" s="5">
        <f t="shared" si="20"/>
        <v>11031.729662810643</v>
      </c>
      <c r="C362" s="5">
        <f t="shared" si="21"/>
        <v>109.49539849972861</v>
      </c>
      <c r="D362" s="5">
        <f t="shared" si="22"/>
        <v>10922.234264310915</v>
      </c>
      <c r="E362" s="5">
        <f t="shared" si="23"/>
        <v>-10976.845435634808</v>
      </c>
    </row>
    <row r="363" spans="1:5" x14ac:dyDescent="0.2">
      <c r="A363">
        <v>360</v>
      </c>
      <c r="B363" s="5">
        <f t="shared" si="20"/>
        <v>11031.729662810643</v>
      </c>
      <c r="C363" s="5">
        <f t="shared" si="21"/>
        <v>54.884227178174037</v>
      </c>
      <c r="D363" s="5">
        <f t="shared" si="22"/>
        <v>10976.845435632469</v>
      </c>
      <c r="E363" s="5">
        <f t="shared" si="23"/>
        <v>-2.3392203729599714E-9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2024-10-31T14:44:26Z</dcterms:created>
  <dcterms:modified xsi:type="dcterms:W3CDTF">2024-10-31T15:22:37Z</dcterms:modified>
</cp:coreProperties>
</file>